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ohort_Flow" sheetId="2" state="visible" r:id="rId2"/>
    <sheet name="Care_Gaps" sheetId="3" state="visible" r:id="rId3"/>
    <sheet name="Subgroup_Review" sheetId="4" state="visible" r:id="rId4"/>
    <sheet name="Model_Tradeoffs" sheetId="5" state="visible" r:id="rId5"/>
    <sheet name="Data_Quality" sheetId="6" state="visible" r:id="rId6"/>
    <sheet name="Metric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"/>
    <numFmt numFmtId="166" formatCode="#,##0.######"/>
    <numFmt numFmtId="167" formatCode="0.0E+00"/>
    <numFmt numFmtId="168" formatCode="+0.0%;-0.0%;0.0%"/>
    <numFmt numFmtId="169" formatCode="0.000"/>
    <numFmt numFmtId="170" formatCode="+0.000;-0.000;0.000"/>
    <numFmt numFmtId="171" formatCode="+0.0;-0.0;0.0"/>
    <numFmt numFmtId="172" formatCode="0.000000"/>
  </numFmts>
  <fonts count="7">
    <font>
      <name val="Calibri"/>
      <family val="2"/>
      <color theme="1"/>
      <sz val="11"/>
      <scheme val="minor"/>
    </font>
    <font>
      <b val="1"/>
      <color rgb="009C0006"/>
    </font>
    <font>
      <b val="1"/>
      <sz val="14"/>
    </font>
    <font>
      <i val="1"/>
      <color rgb="00555555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8" fontId="0" fillId="0" borderId="0" pivotButton="0" quotePrefix="0" xfId="0"/>
    <xf numFmtId="0" fontId="5" fillId="0" borderId="0" pivotButton="0" quotePrefix="0" xfId="0"/>
    <xf numFmtId="1" fontId="0" fillId="0" borderId="0" pivotButton="0" quotePrefix="0" xfId="0"/>
    <xf numFmtId="0" fontId="4" fillId="2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6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DecisionMetrics" displayName="DecisionMetrics" ref="A5:K10" headerRowCount="1">
  <autoFilter ref="A5:K10"/>
  <tableColumns count="11">
    <tableColumn id="1" name="metric"/>
    <tableColumn id="2" name="value"/>
    <tableColumn id="3" name="ci_low"/>
    <tableColumn id="4" name="ci_high"/>
    <tableColumn id="5" name="unit"/>
    <tableColumn id="6" name="n_basis"/>
    <tableColumn id="7" name="unweighted_n"/>
    <tableColumn id="8" name="effective_n"/>
    <tableColumn id="9" name="definition"/>
    <tableColumn id="10" name="source"/>
    <tableColumn id="11" name="check"/>
  </tableColumns>
  <tableStyleInfo name="TableStyleLight1" showRowStripes="1"/>
</table>
</file>

<file path=xl/tables/table2.xml><?xml version="1.0" encoding="utf-8"?>
<table xmlns="http://schemas.openxmlformats.org/spreadsheetml/2006/main" id="2" name="CohortFlow" displayName="CohortFlow" ref="A5:G12" headerRowCount="1">
  <autoFilter ref="A5:G12"/>
  <tableColumns count="7">
    <tableColumn id="1" name="criterion"/>
    <tableColumn id="2" name="step"/>
    <tableColumn id="3" name="remaining"/>
    <tableColumn id="4" name="removed"/>
    <tableColumn id="5" name="removed_check"/>
    <tableColumn id="6" name="share_of_start"/>
    <tableColumn id="7" name="removed_reconciles"/>
  </tableColumns>
  <tableStyleInfo name="TableStyleLight1" showRowStripes="1"/>
</table>
</file>

<file path=xl/tables/table3.xml><?xml version="1.0" encoding="utf-8"?>
<table xmlns="http://schemas.openxmlformats.org/spreadsheetml/2006/main" id="3" name="CohortByGroup" displayName="CohortByGroup" ref="A17:F24" headerRowCount="1">
  <autoFilter ref="A17:F24"/>
  <tableColumns count="6">
    <tableColumn id="1" name="group"/>
    <tableColumn id="2" name="respondents"/>
    <tableColumn id="3" name="weighted_population"/>
    <tableColumn id="4" name="hba1c_positive_respondents"/>
    <tableColumn id="5" name="diagnosed_among_positive"/>
    <tableColumn id="6" name="undiagnosed_among_positive"/>
  </tableColumns>
  <tableStyleInfo name="TableStyleLight1" showRowStripes="1"/>
</table>
</file>

<file path=xl/tables/table4.xml><?xml version="1.0" encoding="utf-8"?>
<table xmlns="http://schemas.openxmlformats.org/spreadsheetml/2006/main" id="4" name="CohortReconciliation" displayName="CohortReconciliation" ref="A29:E35" headerRowCount="1">
  <autoFilter ref="A29:E35"/>
  <tableColumns count="5">
    <tableColumn id="1" name="check"/>
    <tableColumn id="2" name="workbook_value"/>
    <tableColumn id="3" name="pipeline_value"/>
    <tableColumn id="4" name="abs_difference"/>
    <tableColumn id="5" name="status"/>
  </tableColumns>
  <tableStyleInfo name="TableStyleLight1" showRowStripes="1"/>
</table>
</file>

<file path=xl/tables/table5.xml><?xml version="1.0" encoding="utf-8"?>
<table xmlns="http://schemas.openxmlformats.org/spreadsheetml/2006/main" id="5" name="CareGaps" displayName="CareGaps" ref="A5:P12" headerRowCount="1">
  <autoFilter ref="A5:P12"/>
  <tableColumns count="16">
    <tableColumn id="1" name="group"/>
    <tableColumn id="2" name="hba1c_positive_respondents"/>
    <tableColumn id="3" name="undiagnosed_respondents"/>
    <tableColumn id="4" name="weighted_denominator"/>
    <tableColumn id="5" name="weighted_undiagnosed"/>
    <tableColumn id="6" name="estimate"/>
    <tableColumn id="7" name="ci_low"/>
    <tableColumn id="8" name="ci_high"/>
    <tableColumn id="9" name="effective_n_kish"/>
    <tableColumn id="10" name="small_sample_warning"/>
    <tableColumn id="11" name="respondents_per_group_summary"/>
    <tableColumn id="12" name="unweighted_share"/>
    <tableColumn id="13" name="weighted_share_check"/>
    <tableColumn id="14" name="ci_width"/>
    <tableColumn id="15" name="estimate_reconciles"/>
    <tableColumn id="16" name="n_reconciles"/>
  </tableColumns>
  <tableStyleInfo name="TableStyleLight1" showRowStripes="1"/>
</table>
</file>

<file path=xl/tables/table6.xml><?xml version="1.0" encoding="utf-8"?>
<table xmlns="http://schemas.openxmlformats.org/spreadsheetml/2006/main" id="6" name="SubgroupReview" displayName="SubgroupReview" ref="A5:S11" headerRowCount="1">
  <autoFilter ref="A5:S11"/>
  <tableColumns count="19">
    <tableColumn id="1" name="group"/>
    <tableColumn id="2" name="hba1c_positive_respondents"/>
    <tableColumn id="3" name="effective_n_kish"/>
    <tableColumn id="4" name="small_sample_warning"/>
    <tableColumn id="5" name="estimate"/>
    <tableColumn id="6" name="ci_low"/>
    <tableColumn id="7" name="ci_high"/>
    <tableColumn id="8" name="difference"/>
    <tableColumn id="9" name="diff_ci_low"/>
    <tableColumn id="10" name="diff_ci_high"/>
    <tableColumn id="11" name="ratio"/>
    <tableColumn id="12" name="ratio_ci_low"/>
    <tableColumn id="13" name="ratio_ci_high"/>
    <tableColumn id="14" name="p_value"/>
    <tableColumn id="15" name="p_value_holm"/>
    <tableColumn id="16" name="analysis_type"/>
    <tableColumn id="17" name="review_label"/>
    <tableColumn id="18" name="interval_excludes_zero"/>
    <tableColumn id="19" name="holm_at_least_raw_p"/>
  </tableColumns>
  <tableStyleInfo name="TableStyleLight1" showRowStripes="1"/>
</table>
</file>

<file path=xl/tables/table7.xml><?xml version="1.0" encoding="utf-8"?>
<table xmlns="http://schemas.openxmlformats.org/spreadsheetml/2006/main" id="7" name="ModelComparison" displayName="ModelComparison" ref="A5:Q9" headerRowCount="1">
  <autoFilter ref="A5:Q9"/>
  <tableColumns count="17">
    <tableColumn id="1" name="model"/>
    <tableColumn id="2" name="role"/>
    <tableColumn id="3" name="description"/>
    <tableColumn id="4" name="auc_diagnosed_label"/>
    <tableColumn id="5" name="auc_diagnosed_ci_low"/>
    <tableColumn id="6" name="auc_diagnosed_ci_high"/>
    <tableColumn id="7" name="auc_hba1c_label"/>
    <tableColumn id="8" name="auc_hba1c_ci_low"/>
    <tableColumn id="9" name="auc_hba1c_ci_high"/>
    <tableColumn id="10" name="auc_difference"/>
    <tableColumn id="11" name="auc_diff_ci_low"/>
    <tableColumn id="12" name="auc_diff_ci_high"/>
    <tableColumn id="13" name="p_value_bootstrap"/>
    <tableColumn id="14" name="cost"/>
    <tableColumn id="15" name="cost_ci_low"/>
    <tableColumn id="16" name="cost_ci_high"/>
    <tableColumn id="17" name="auc_difference_reconciles"/>
  </tableColumns>
  <tableStyleInfo name="TableStyleLight1" showRowStripes="1"/>
</table>
</file>

<file path=xl/tables/table8.xml><?xml version="1.0" encoding="utf-8"?>
<table xmlns="http://schemas.openxmlformats.org/spreadsheetml/2006/main" id="8" name="SubgroupPerformance" displayName="SubgroupPerformance" ref="A14:S70" headerRowCount="1">
  <autoFilter ref="A14:S70"/>
  <tableColumns count="19">
    <tableColumn id="1" name="model"/>
    <tableColumn id="2" name="group"/>
    <tableColumn id="3" name="label"/>
    <tableColumn id="4" name="respondents"/>
    <tableColumn id="5" name="positives"/>
    <tableColumn id="6" name="negatives"/>
    <tableColumn id="7" name="effective_n_positives"/>
    <tableColumn id="8" name="small_sample_warning"/>
    <tableColumn id="9" name="sensitivity"/>
    <tableColumn id="10" name="sensitivity_ci_low"/>
    <tableColumn id="11" name="sensitivity_ci_high"/>
    <tableColumn id="12" name="specificity"/>
    <tableColumn id="13" name="specificity_ci_low"/>
    <tableColumn id="14" name="specificity_ci_high"/>
    <tableColumn id="15" name="ppv"/>
    <tableColumn id="16" name="npv"/>
    <tableColumn id="17" name="false_positive_rate"/>
    <tableColumn id="18" name="false_positive_rate_ci_low"/>
    <tableColumn id="19" name="false_positive_rate_ci_high"/>
  </tableColumns>
  <tableStyleInfo name="TableStyleLight1" showRowStripes="1"/>
</table>
</file>

<file path=xl/tables/table9.xml><?xml version="1.0" encoding="utf-8"?>
<table xmlns="http://schemas.openxmlformats.org/spreadsheetml/2006/main" id="9" name="FalsePositiveBurden" displayName="FalsePositiveBurden" ref="A75:K103" headerRowCount="1">
  <autoFilter ref="A75:K103"/>
  <tableColumns count="11">
    <tableColumn id="1" name="model"/>
    <tableColumn id="2" name="group"/>
    <tableColumn id="3" name="specificity_diagnosed"/>
    <tableColumn id="4" name="specificity_hba1c"/>
    <tableColumn id="5" name="cost"/>
    <tableColumn id="6" name="cost_ci_low"/>
    <tableColumn id="7" name="cost_ci_high"/>
    <tableColumn id="8" name="fpr_diagnosed_label"/>
    <tableColumn id="9" name="fpr_hba1c_label"/>
    <tableColumn id="10" name="extra_false_positives_per_100"/>
    <tableColumn id="11" name="cost_reconciles"/>
  </tableColumns>
  <tableStyleInfo name="TableStyleLight1" showRowStripes="1"/>
</table>
</file>

<file path=xl/tables/table10.xml><?xml version="1.0" encoding="utf-8"?>
<table xmlns="http://schemas.openxmlformats.org/spreadsheetml/2006/main" id="10" name="QualityChecks" displayName="QualityChecks" ref="A5:D19" headerRowCount="1">
  <autoFilter ref="A5:D19"/>
  <tableColumns count="4">
    <tableColumn id="1" name="suite"/>
    <tableColumn id="2" name="check"/>
    <tableColumn id="3" name="status"/>
    <tableColumn id="4" name="detail"/>
  </tableColumns>
  <tableStyleInfo name="TableStyleLight1" showRowStripes="1"/>
</table>
</file>

<file path=xl/tables/table11.xml><?xml version="1.0" encoding="utf-8"?>
<table xmlns="http://schemas.openxmlformats.org/spreadsheetml/2006/main" id="11" name="Missingness" displayName="Missingness" ref="A24:G52" headerRowCount="1">
  <autoFilter ref="A24:G52"/>
  <tableColumns count="7">
    <tableColumn id="1" name="group"/>
    <tableColumn id="2" name="variable"/>
    <tableColumn id="3" name="respondents"/>
    <tableColumn id="4" name="missing"/>
    <tableColumn id="5" name="missing_share"/>
    <tableColumn id="6" name="missing_share_check"/>
    <tableColumn id="7" name="missing_reconciles"/>
  </tableColumns>
  <tableStyleInfo name="TableStyleLight1" showRowStripes="1"/>
</table>
</file>

<file path=xl/tables/table12.xml><?xml version="1.0" encoding="utf-8"?>
<table xmlns="http://schemas.openxmlformats.org/spreadsheetml/2006/main" id="12" name="SourceFiles" displayName="SourceFiles" ref="A57:F64" headerRowCount="1">
  <autoFilter ref="A57:F64"/>
  <tableColumns count="6">
    <tableColumn id="1" name="file"/>
    <tableColumn id="2" name="source_url"/>
    <tableColumn id="3" name="bytes"/>
    <tableColumn id="4" name="sha256"/>
    <tableColumn id="5" name="retrieved_at"/>
    <tableColumn id="6" name="columns_verified"/>
  </tableColumns>
  <tableStyleInfo name="TableStyleLight1" showRowStripes="1"/>
</table>
</file>

<file path=xl/tables/table13.xml><?xml version="1.0" encoding="utf-8"?>
<table xmlns="http://schemas.openxmlformats.org/spreadsheetml/2006/main" id="13" name="RCrosscheck" displayName="RCrosscheck" ref="A69:H121" headerRowCount="1">
  <autoFilter ref="A69:H121"/>
  <tableColumns count="8">
    <tableColumn id="1" name="quantity"/>
    <tableColumn id="2" name="group"/>
    <tableColumn id="3" name="python_estimate"/>
    <tableColumn id="4" name="r_estimate"/>
    <tableColumn id="5" name="absolute_difference"/>
    <tableColumn id="6" name="tolerance"/>
    <tableColumn id="7" name="diff_check"/>
    <tableColumn id="8" name="within_tolerance"/>
  </tableColumns>
  <tableStyleInfo name="TableStyleLight1" showRowStripes="1"/>
</table>
</file>

<file path=xl/tables/table14.xml><?xml version="1.0" encoding="utf-8"?>
<table xmlns="http://schemas.openxmlformats.org/spreadsheetml/2006/main" id="14" name="MetricDictionary" displayName="MetricDictionary" ref="A5:H17" headerRowCount="1">
  <autoFilter ref="A5:H17"/>
  <tableColumns count="8">
    <tableColumn id="1" name="id"/>
    <tableColumn id="2" name="name"/>
    <tableColumn id="3" name="definition"/>
    <tableColumn id="4" name="numerator"/>
    <tableColumn id="5" name="denominator"/>
    <tableColumn id="6" name="exclusions"/>
    <tableColumn id="7" name="unit"/>
    <tableColumn id="8" name="sourc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Relationship Type="http://schemas.openxmlformats.org/officeDocument/2006/relationships/table" Target="/xl/tables/table12.xml" Id="rId3" /><Relationship Type="http://schemas.openxmlformats.org/officeDocument/2006/relationships/table" Target="/xl/tables/table13.xml" Id="rId4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28" customWidth="1" min="5" max="5"/>
    <col width="30" customWidth="1" min="6" max="6"/>
    <col width="15" customWidth="1" min="7" max="7"/>
    <col width="14" customWidth="1" min="8" max="8"/>
    <col width="70" customWidth="1" min="9" max="9"/>
    <col width="26" customWidth="1" min="10" max="10"/>
    <col width="13" customWidth="1" min="11" max="11"/>
  </cols>
  <sheetData>
    <row r="1">
      <c r="A1" s="1" t="inlineStr">
        <is>
          <t>NHANES 2017-2018 public-use survey data. Descriptive care-gap monitoring, not a certified quality measure, not clinical guidance, and no respondent-level rows.</t>
        </is>
      </c>
    </row>
    <row r="2">
      <c r="A2" s="2" t="inlineStr">
        <is>
          <t>Executive summary: five decision metrics for diabetes care-gap monitoring</t>
        </is>
      </c>
    </row>
    <row r="3">
      <c r="A3" s="3" t="inlineStr">
        <is>
          <t>Values are read from the pipeline outputs; the Check column re-reads the same value from the detail sheet.</t>
        </is>
      </c>
    </row>
    <row r="4">
      <c r="A4" s="4" t="inlineStr">
        <is>
          <t>Pipeline refresh: 2026-09-19T05:18:21+00:00. Source files retrieved: 2026-09-19. Code commit: 0fc4a7ad68c18268cad6e98fcdd02bf0edf3fdfa.</t>
        </is>
      </c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ci_low</t>
        </is>
      </c>
      <c r="D5" s="5" t="inlineStr">
        <is>
          <t>ci_high</t>
        </is>
      </c>
      <c r="E5" s="5" t="inlineStr">
        <is>
          <t>unit</t>
        </is>
      </c>
      <c r="F5" s="5" t="inlineStr">
        <is>
          <t>n_basis</t>
        </is>
      </c>
      <c r="G5" s="5" t="inlineStr">
        <is>
          <t>unweighted_n</t>
        </is>
      </c>
      <c r="H5" s="5" t="inlineStr">
        <is>
          <t>effective_n</t>
        </is>
      </c>
      <c r="I5" s="5" t="inlineStr">
        <is>
          <t>definition</t>
        </is>
      </c>
      <c r="J5" s="5" t="inlineStr">
        <is>
          <t>source</t>
        </is>
      </c>
      <c r="K5" s="5" t="inlineStr">
        <is>
          <t>check</t>
        </is>
      </c>
    </row>
    <row r="6">
      <c r="A6" t="inlineStr">
        <is>
          <t>Undiagnosed share, all groups</t>
        </is>
      </c>
      <c r="B6" s="6" t="n">
        <v>0.1888501127077438</v>
      </c>
      <c r="C6" s="6" t="n">
        <v>0.1554103141948833</v>
      </c>
      <c r="D6" s="6" t="n">
        <v>0.2275466590100687</v>
      </c>
      <c r="E6" t="inlineStr">
        <is>
          <t>share of HbA1c-positive people</t>
        </is>
      </c>
      <c r="F6" t="inlineStr">
        <is>
          <t>HbA1c-positive respondents</t>
        </is>
      </c>
      <c r="G6" t="n">
        <v>711</v>
      </c>
      <c r="H6" s="7" t="n">
        <v>271.0185017900856</v>
      </c>
      <c r="I6" s="8" t="inlineStr">
        <is>
          <t>Weighted share of people meeting the HbA1c criterion who were never told by a doctor that they have diabetes.</t>
        </is>
      </c>
      <c r="J6" t="inlineStr">
        <is>
          <t>undiagnosis_estimates.csv</t>
        </is>
      </c>
      <c r="K6" t="str">
        <f>IF(ABS(B6-Care_Gaps!F12)&lt;=1e-06,"PASS","FAIL")</f>
        <v>PASS</v>
      </c>
    </row>
    <row r="7">
      <c r="A7" t="inlineStr">
        <is>
          <t>People with undiagnosed diabetes, weighted</t>
        </is>
      </c>
      <c r="B7" s="9" t="n">
        <v>4245381.186690973</v>
      </c>
      <c r="C7" s="9" t="n"/>
      <c r="D7" s="9" t="n"/>
      <c r="E7" t="inlineStr">
        <is>
          <t>people (survey-weighted)</t>
        </is>
      </c>
      <c r="F7" t="inlineStr">
        <is>
          <t>undiagnosed respondents</t>
        </is>
      </c>
      <c r="G7" t="n">
        <v>152</v>
      </c>
      <c r="H7" s="7" t="n"/>
      <c r="I7" s="8" t="inlineStr">
        <is>
          <t>Survey-weighted count of people meeting the HbA1c criterion who were never told they have diabetes.</t>
        </is>
      </c>
      <c r="J7" t="inlineStr">
        <is>
          <t>group_summary.csv</t>
        </is>
      </c>
      <c r="K7" t="str">
        <f>IF(ABS(B7-Care_Gaps!E12)&lt;=0.5,"PASS","FAIL")</f>
        <v>PASS</v>
      </c>
    </row>
    <row r="8">
      <c r="A8" t="inlineStr">
        <is>
          <t>Undiagnosed share, Non-Hispanic Black</t>
        </is>
      </c>
      <c r="B8" s="6" t="n">
        <v>0.3223614785929236</v>
      </c>
      <c r="C8" s="6" t="n">
        <v>0.2303129532551633</v>
      </c>
      <c r="D8" s="6" t="n">
        <v>0.4306165736125146</v>
      </c>
      <c r="E8" t="inlineStr">
        <is>
          <t>share of HbA1c-positive people</t>
        </is>
      </c>
      <c r="F8" t="inlineStr">
        <is>
          <t>HbA1c-positive respondents</t>
        </is>
      </c>
      <c r="G8" t="n">
        <v>181</v>
      </c>
      <c r="H8" s="7" t="n">
        <v>140.9224638484511</v>
      </c>
      <c r="I8" s="8" t="inlineStr">
        <is>
          <t>Weighted share of people meeting the HbA1c criterion who were never told by a doctor that they have diabetes.</t>
        </is>
      </c>
      <c r="J8" t="inlineStr">
        <is>
          <t>undiagnosis_estimates.csv</t>
        </is>
      </c>
      <c r="K8" t="str">
        <f>IF(ABS(B8-Care_Gaps!F7)&lt;=1e-06,"PASS","FAIL")</f>
        <v>PASS</v>
      </c>
    </row>
    <row r="9">
      <c r="A9" t="inlineStr">
        <is>
          <t>Difference versus Non-Hispanic White (pre-specified)</t>
        </is>
      </c>
      <c r="B9" s="10" t="n">
        <v>0.193867228826659</v>
      </c>
      <c r="C9" s="10" t="n">
        <v>0.0702029639453438</v>
      </c>
      <c r="D9" s="10" t="n">
        <v>0.3175314937079743</v>
      </c>
      <c r="E9" t="inlineStr">
        <is>
          <t>percentage points</t>
        </is>
      </c>
      <c r="F9" t="inlineStr">
        <is>
          <t>HbA1c-positive respondents, comparison group</t>
        </is>
      </c>
      <c r="G9" t="n">
        <v>181</v>
      </c>
      <c r="H9" s="7" t="n">
        <v>140.9224638484511</v>
      </c>
      <c r="I9" s="8" t="inlineStr">
        <is>
          <t>Undiagnosed share of a group minus the undiagnosed share of the reference group (Non-Hispanic White).</t>
        </is>
      </c>
      <c r="J9" t="inlineStr">
        <is>
          <t>undiagnosis_contrasts.csv</t>
        </is>
      </c>
      <c r="K9" t="str">
        <f>IF(ABS(B9-Subgroup_Review!H7)&lt;=1e-06,"PASS","FAIL")</f>
        <v>PASS</v>
      </c>
    </row>
    <row r="10">
      <c r="A10" t="inlineStr">
        <is>
          <t>Specificity cost of the HbA1c label, Non-Hispanic Black, race-included model</t>
        </is>
      </c>
      <c r="B10" s="10" t="n">
        <v>0.099753616902197</v>
      </c>
      <c r="C10" s="10" t="n">
        <v>0.0857369193965562</v>
      </c>
      <c r="D10" s="10" t="n">
        <v>0.1121537607104059</v>
      </c>
      <c r="E10" t="inlineStr">
        <is>
          <t>percentage points</t>
        </is>
      </c>
      <c r="F10" t="inlineStr">
        <is>
          <t>HbA1c-negative respondents</t>
        </is>
      </c>
      <c r="G10" t="n">
        <v>1131</v>
      </c>
      <c r="H10" s="7" t="n">
        <v>874.0634309844907</v>
      </c>
      <c r="I10" s="8" t="inlineStr">
        <is>
          <t>Specificity of the model trained on the diagnosed label minus specificity of the model trained on the HbA1c label. Positive means more false positives when training on the HbA1c label.</t>
        </is>
      </c>
      <c r="J10" t="inlineStr">
        <is>
          <t>specificity_cost.csv</t>
        </is>
      </c>
      <c r="K10" t="str">
        <f>IF(ABS(B10-Model_Tradeoffs!E84)&lt;=1e-06,"PASS","FAIL")</f>
        <v>PASS</v>
      </c>
    </row>
    <row r="12">
      <c r="A12" s="11" t="inlineStr">
        <is>
          <t>Reconciliation status by sheet</t>
        </is>
      </c>
    </row>
    <row r="13">
      <c r="A13" t="inlineStr">
        <is>
          <t>Cohort_Flow</t>
        </is>
      </c>
      <c r="B13" t="str">
        <f>Cohort_Flow!B36</f>
        <v>ALL CHECKS PASS</v>
      </c>
    </row>
    <row r="14">
      <c r="A14" t="inlineStr">
        <is>
          <t>Care_Gaps</t>
        </is>
      </c>
      <c r="B14" t="str">
        <f>IF(COUNTIF(Care_Gaps!O6:P12,"FAIL")=0,"ALL CHECKS PASS","REVIEW")</f>
        <v>ALL CHECKS PASS</v>
      </c>
    </row>
    <row r="15">
      <c r="A15" t="inlineStr">
        <is>
          <t>Subgroup_Review</t>
        </is>
      </c>
      <c r="B15" t="str">
        <f>IF(COUNTIF(Subgroup_Review!S6:S11,"FAIL")=0,"ALL CHECKS PASS","REVIEW")</f>
        <v>ALL CHECKS PASS</v>
      </c>
    </row>
    <row r="16">
      <c r="A16" t="inlineStr">
        <is>
          <t>Model_Tradeoffs</t>
        </is>
      </c>
      <c r="B16" t="str">
        <f>IF(COUNTIF(Model_Tradeoffs!K76:K103,"FAIL")+COUNTIF(Model_Tradeoffs!Q6:Q9,"FAIL")=0,"ALL CHECKS PASS","REVIEW")</f>
        <v>ALL CHECKS PASS</v>
      </c>
    </row>
    <row r="17">
      <c r="A17" t="inlineStr">
        <is>
          <t>Data_Quality</t>
        </is>
      </c>
      <c r="B17" t="str">
        <f>IF(COUNTIF(Data_Quality!C6:C19,"FAIL")=0,"ALL CHECKS PASS","REVIEW")</f>
        <v>ALL CHECKS PASS</v>
      </c>
    </row>
    <row r="18">
      <c r="A18" t="inlineStr">
        <is>
          <t>Executive_Summary</t>
        </is>
      </c>
      <c r="B18" t="str">
        <f>IF(COUNTIF(K6:K10,"FAIL")=0,"ALL CHECKS PASS","REVIEW")</f>
        <v>ALL CHECKS PASS</v>
      </c>
    </row>
    <row r="20">
      <c r="A20" s="11" t="inlineStr">
        <is>
          <t>Population</t>
        </is>
      </c>
    </row>
    <row r="21">
      <c r="A21" t="inlineStr">
        <is>
          <t>The analysis cohort represents the US civilian non-institutionalized population aged 12 and older with an exam weight, a valid diabetes questionnaire answer, a measured HbA1c and a known race and ethnicity group.</t>
        </is>
      </c>
    </row>
    <row r="23">
      <c r="A23" s="11" t="inlineStr">
        <is>
          <t>Limitations</t>
        </is>
      </c>
    </row>
    <row r="24">
      <c r="A24" t="inlineStr">
        <is>
          <t>1. The undiagnosis gap is descriptive. It can reflect access to care, screening frequency, clinician behavior, insurance or measurement, and this data cannot separate them.</t>
        </is>
      </c>
    </row>
    <row r="25">
      <c r="A25" t="inlineStr">
        <is>
          <t>2. HbA1c is one of three ADA diagnostic criteria. Fasting glucose is not used, and HbA1c can read high in some people with sickle cell trait.</t>
        </is>
      </c>
    </row>
    <row r="26">
      <c r="A26" t="inlineStr">
        <is>
          <t>3. The models are minimal comparisons of two labels. They are not clinical risk models and are not ready for deployment.</t>
        </is>
      </c>
    </row>
    <row r="27">
      <c r="A27" t="inlineStr">
        <is>
          <t>4. Only the Non-Hispanic Black versus Non-Hispanic White comparison was named in advance. Every other subgroup comparison is exploratory and carries a Holm-adjusted p-value.</t>
        </is>
      </c>
    </row>
    <row r="28">
      <c r="A28" t="inlineStr">
        <is>
          <t>5. Small groups have wide intervals. A group with a small effective sample size is flagged, not hidden.</t>
        </is>
      </c>
    </row>
    <row r="29">
      <c r="A29" t="inlineStr">
        <is>
          <t>6. This is public research data, not an EHR extract. It is care-gap monitoring inspired by quality measurement, not a certified HEDIS measure.</t>
        </is>
      </c>
    </row>
  </sheetData>
  <conditionalFormatting sqref="A1:R400">
    <cfRule type="cellIs" priority="1" operator="equal" dxfId="0">
      <formula>"FAIL"</formula>
    </cfRule>
    <cfRule type="cellIs" priority="2" operator="equal" dxfId="0">
      <formula>"REVIEW"</formula>
    </cfRule>
    <cfRule type="cellIs" priority="3" operator="equal" dxfId="1">
      <formula>"PASS"</formula>
    </cfRule>
    <cfRule type="cellIs" priority="4" operator="equal" dxfId="1">
      <formula>"ALL CHECKS PASS"</formula>
    </cfRule>
    <cfRule type="cellIs" priority="5" operator="equal" dxfId="2">
      <formula>"SMALL SAMPLE"</formula>
    </cfRule>
    <cfRule type="expression" priority="6" dxfId="2">
      <formula>LEFT(A1,11)="Exploratory"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22" customWidth="1" min="3" max="3"/>
    <col width="29" customWidth="1" min="4" max="4"/>
    <col width="27" customWidth="1" min="5" max="5"/>
    <col width="29" customWidth="1" min="6" max="6"/>
    <col width="21" customWidth="1" min="7" max="7"/>
  </cols>
  <sheetData>
    <row r="1">
      <c r="A1" s="1" t="inlineStr">
        <is>
          <t>NHANES 2017-2018 public-use survey data. Descriptive care-gap monitoring, not a certified quality measure, not clinical guidance, and no respondent-level rows.</t>
        </is>
      </c>
    </row>
    <row r="2">
      <c r="A2" s="2" t="inlineStr">
        <is>
          <t>Cohort flow: from all NHANES participants to the analysis cohort</t>
        </is>
      </c>
    </row>
    <row r="3">
      <c r="A3" s="3" t="inlineStr">
        <is>
          <t>Each step's remaining count comes from cohort_attrition.csv. Removed is re-derived by formula and reconciled below.</t>
        </is>
      </c>
    </row>
    <row r="5">
      <c r="A5" s="5" t="inlineStr">
        <is>
          <t>criterion</t>
        </is>
      </c>
      <c r="B5" s="5" t="inlineStr">
        <is>
          <t>step</t>
        </is>
      </c>
      <c r="C5" s="5" t="inlineStr">
        <is>
          <t>remaining</t>
        </is>
      </c>
      <c r="D5" s="5" t="inlineStr">
        <is>
          <t>removed</t>
        </is>
      </c>
      <c r="E5" s="5" t="inlineStr">
        <is>
          <t>removed_check</t>
        </is>
      </c>
      <c r="F5" s="5" t="inlineStr">
        <is>
          <t>share_of_start</t>
        </is>
      </c>
      <c r="G5" s="5" t="inlineStr">
        <is>
          <t>removed_reconciles</t>
        </is>
      </c>
    </row>
    <row r="6">
      <c r="A6" t="inlineStr">
        <is>
          <t>NHANES 2017-2018 participants (DEMO_J)</t>
        </is>
      </c>
      <c r="B6" s="12" t="n">
        <v>1</v>
      </c>
      <c r="C6" s="9" t="n">
        <v>9254</v>
      </c>
      <c r="D6" s="9" t="n">
        <v>0</v>
      </c>
      <c r="E6" s="9">
        <f>0</f>
        <v>0</v>
      </c>
      <c r="F6" s="6">
        <f>C6/C$6</f>
        <v>1.0</v>
      </c>
      <c r="G6" t="str">
        <f>IF(D6=E6,"PASS","FAIL")</f>
        <v>PASS</v>
      </c>
    </row>
    <row r="7">
      <c r="A7" t="inlineStr">
        <is>
          <t>Examined, with a positive MEC exam weight</t>
        </is>
      </c>
      <c r="B7" s="12" t="n">
        <v>2</v>
      </c>
      <c r="C7" s="9" t="n">
        <v>8704</v>
      </c>
      <c r="D7" s="9" t="n">
        <v>550</v>
      </c>
      <c r="E7" s="9">
        <f>C6-C7</f>
        <v>550.0</v>
      </c>
      <c r="F7" s="6">
        <f>C7/C$6</f>
        <v>0.9405662416252432</v>
      </c>
      <c r="G7" t="str">
        <f>IF(D7=E7,"PASS","FAIL")</f>
        <v>PASS</v>
      </c>
    </row>
    <row r="8">
      <c r="A8" t="inlineStr">
        <is>
          <t>Meets the minimum age</t>
        </is>
      </c>
      <c r="B8" s="12" t="n">
        <v>3</v>
      </c>
      <c r="C8" s="9" t="n">
        <v>8704</v>
      </c>
      <c r="D8" s="9" t="n">
        <v>0</v>
      </c>
      <c r="E8" s="9">
        <f>C7-C8</f>
        <v>0.0</v>
      </c>
      <c r="F8" s="6">
        <f>C8/C$6</f>
        <v>0.9405662416252432</v>
      </c>
      <c r="G8" t="str">
        <f>IF(D8=E8,"PASS","FAIL")</f>
        <v>PASS</v>
      </c>
    </row>
    <row r="9">
      <c r="A9" t="inlineStr">
        <is>
          <t>Valid diabetes questionnaire answer (yes, no or borderline)</t>
        </is>
      </c>
      <c r="B9" s="12" t="n">
        <v>4</v>
      </c>
      <c r="C9" s="9" t="n">
        <v>8362</v>
      </c>
      <c r="D9" s="9" t="n">
        <v>342</v>
      </c>
      <c r="E9" s="9">
        <f>C8-C9</f>
        <v>342.0</v>
      </c>
      <c r="F9" s="6">
        <f>C9/C$6</f>
        <v>0.9036092500540307</v>
      </c>
      <c r="G9" t="str">
        <f>IF(D9=E9,"PASS","FAIL")</f>
        <v>PASS</v>
      </c>
    </row>
    <row r="10">
      <c r="A10" t="inlineStr">
        <is>
          <t>Borderline answers handled per the analysis variant</t>
        </is>
      </c>
      <c r="B10" s="12" t="n">
        <v>5</v>
      </c>
      <c r="C10" s="9" t="n">
        <v>8187</v>
      </c>
      <c r="D10" s="9" t="n">
        <v>175</v>
      </c>
      <c r="E10" s="9">
        <f>C9-C10</f>
        <v>175.0</v>
      </c>
      <c r="F10" s="6">
        <f>C10/C$6</f>
        <v>0.8846985087529717</v>
      </c>
      <c r="G10" t="str">
        <f>IF(D10=E10,"PASS","FAIL")</f>
        <v>PASS</v>
      </c>
    </row>
    <row r="11">
      <c r="A11" t="inlineStr">
        <is>
          <t>HbA1c measured</t>
        </is>
      </c>
      <c r="B11" s="12" t="n">
        <v>6</v>
      </c>
      <c r="C11" s="9" t="n">
        <v>5873</v>
      </c>
      <c r="D11" s="9" t="n">
        <v>2314</v>
      </c>
      <c r="E11" s="9">
        <f>C10-C11</f>
        <v>2314.0</v>
      </c>
      <c r="F11" s="6">
        <f>C11/C$6</f>
        <v>0.6346444780635401</v>
      </c>
      <c r="G11" t="str">
        <f>IF(D11=E11,"PASS","FAIL")</f>
        <v>PASS</v>
      </c>
    </row>
    <row r="12">
      <c r="A12" t="inlineStr">
        <is>
          <t>Known race and ethnicity (analysis cohort)</t>
        </is>
      </c>
      <c r="B12" s="12" t="n">
        <v>7</v>
      </c>
      <c r="C12" s="9" t="n">
        <v>5873</v>
      </c>
      <c r="D12" s="9" t="n">
        <v>0</v>
      </c>
      <c r="E12" s="9">
        <f>C11-C12</f>
        <v>0.0</v>
      </c>
      <c r="F12" s="6">
        <f>C12/C$6</f>
        <v>0.6346444780635401</v>
      </c>
      <c r="G12" t="str">
        <f>IF(D12=E12,"PASS","FAIL")</f>
        <v>PASS</v>
      </c>
    </row>
    <row r="16">
      <c r="A16" s="11" t="inlineStr">
        <is>
          <t>Analysis cohort by group (summary counts, no respondent rows)</t>
        </is>
      </c>
    </row>
    <row r="17">
      <c r="A17" s="5" t="inlineStr">
        <is>
          <t>group</t>
        </is>
      </c>
      <c r="B17" s="5" t="inlineStr">
        <is>
          <t>respondents</t>
        </is>
      </c>
      <c r="C17" s="5" t="inlineStr">
        <is>
          <t>weighted_population</t>
        </is>
      </c>
      <c r="D17" s="5" t="inlineStr">
        <is>
          <t>hba1c_positive_respondents</t>
        </is>
      </c>
      <c r="E17" s="5" t="inlineStr">
        <is>
          <t>diagnosed_among_positive</t>
        </is>
      </c>
      <c r="F17" s="5" t="inlineStr">
        <is>
          <t>undiagnosed_among_positive</t>
        </is>
      </c>
    </row>
    <row r="18">
      <c r="A18" t="inlineStr">
        <is>
          <t>Non-Hispanic White</t>
        </is>
      </c>
      <c r="B18" s="9" t="n">
        <v>2022</v>
      </c>
      <c r="C18" s="9" t="n">
        <v>155599626.5068589</v>
      </c>
      <c r="D18" s="9" t="n">
        <v>203</v>
      </c>
      <c r="E18" s="9" t="n">
        <v>184</v>
      </c>
      <c r="F18" s="9" t="n">
        <v>19</v>
      </c>
    </row>
    <row r="19">
      <c r="A19" t="inlineStr">
        <is>
          <t>Non-Hispanic Black</t>
        </is>
      </c>
      <c r="B19" s="9" t="n">
        <v>1312</v>
      </c>
      <c r="C19" s="9" t="n">
        <v>27992877.55529663</v>
      </c>
      <c r="D19" s="9" t="n">
        <v>181</v>
      </c>
      <c r="E19" s="9" t="n">
        <v>131</v>
      </c>
      <c r="F19" s="9" t="n">
        <v>50</v>
      </c>
    </row>
    <row r="20">
      <c r="A20" t="inlineStr">
        <is>
          <t>Mexican American</t>
        </is>
      </c>
      <c r="B20" s="9" t="n">
        <v>856</v>
      </c>
      <c r="C20" s="9" t="n">
        <v>25031700.61595178</v>
      </c>
      <c r="D20" s="9" t="n">
        <v>112</v>
      </c>
      <c r="E20" s="9" t="n">
        <v>87</v>
      </c>
      <c r="F20" s="9" t="n">
        <v>25</v>
      </c>
    </row>
    <row r="21">
      <c r="A21" t="inlineStr">
        <is>
          <t>Other Hispanic</t>
        </is>
      </c>
      <c r="B21" s="9" t="n">
        <v>546</v>
      </c>
      <c r="C21" s="9" t="n">
        <v>18123125.6700427</v>
      </c>
      <c r="D21" s="9" t="n">
        <v>74</v>
      </c>
      <c r="E21" s="9" t="n">
        <v>54</v>
      </c>
      <c r="F21" s="9" t="n">
        <v>20</v>
      </c>
    </row>
    <row r="22">
      <c r="A22" t="inlineStr">
        <is>
          <t>Non-Hispanic Asian</t>
        </is>
      </c>
      <c r="B22" s="9" t="n">
        <v>796</v>
      </c>
      <c r="C22" s="9" t="n">
        <v>14056291.96209452</v>
      </c>
      <c r="D22" s="9" t="n">
        <v>102</v>
      </c>
      <c r="E22" s="9" t="n">
        <v>73</v>
      </c>
      <c r="F22" s="9" t="n">
        <v>29</v>
      </c>
    </row>
    <row r="23">
      <c r="A23" t="inlineStr">
        <is>
          <t>Other/Multiracial</t>
        </is>
      </c>
      <c r="B23" s="9" t="n">
        <v>341</v>
      </c>
      <c r="C23" s="9" t="n">
        <v>12754182.28836916</v>
      </c>
      <c r="D23" s="9" t="n">
        <v>39</v>
      </c>
      <c r="E23" s="9" t="n">
        <v>30</v>
      </c>
      <c r="F23" s="9" t="n">
        <v>9</v>
      </c>
    </row>
    <row r="24">
      <c r="A24" t="inlineStr">
        <is>
          <t>All groups</t>
        </is>
      </c>
      <c r="B24" s="9" t="n">
        <v>5873</v>
      </c>
      <c r="C24" s="9" t="n">
        <v>253557804.5986142</v>
      </c>
      <c r="D24" s="9" t="n">
        <v>711</v>
      </c>
      <c r="E24" s="9" t="n">
        <v>559</v>
      </c>
      <c r="F24" s="9" t="n">
        <v>152</v>
      </c>
    </row>
    <row r="28">
      <c r="A28" s="11" t="inlineStr">
        <is>
          <t>Reconciliation</t>
        </is>
      </c>
    </row>
    <row r="29">
      <c r="A29" s="5" t="inlineStr">
        <is>
          <t>check</t>
        </is>
      </c>
      <c r="B29" s="13" t="inlineStr">
        <is>
          <t>workbook_value</t>
        </is>
      </c>
      <c r="C29" s="13" t="inlineStr">
        <is>
          <t>pipeline_value</t>
        </is>
      </c>
      <c r="D29" s="13" t="inlineStr">
        <is>
          <t>abs_difference</t>
        </is>
      </c>
      <c r="E29" s="13" t="inlineStr">
        <is>
          <t>status</t>
        </is>
      </c>
    </row>
    <row r="30">
      <c r="A30" t="inlineStr">
        <is>
          <t>First step equals participants in run_manifest.json</t>
        </is>
      </c>
      <c r="B30" s="14">
        <f>C6</f>
        <v>9254</v>
      </c>
      <c r="C30" s="14" t="n">
        <v>9254</v>
      </c>
      <c r="D30" s="15">
        <f>ABS(B30-C30)</f>
        <v>0.0</v>
      </c>
      <c r="E30" t="str">
        <f>IF(D30&lt;=1e-06,"PASS","FAIL")</f>
        <v>PASS</v>
      </c>
    </row>
    <row r="31">
      <c r="A31" t="inlineStr">
        <is>
          <t>Last step equals analysis cohort in run_manifest.json</t>
        </is>
      </c>
      <c r="B31" s="14">
        <f>C12</f>
        <v>5873</v>
      </c>
      <c r="C31" s="14" t="n">
        <v>5873</v>
      </c>
      <c r="D31" s="15">
        <f>ABS(B31-C31)</f>
        <v>0.0</v>
      </c>
      <c r="E31" t="str">
        <f>IF(D31&lt;=1e-06,"PASS","FAIL")</f>
        <v>PASS</v>
      </c>
    </row>
    <row r="32">
      <c r="A32" t="inlineStr">
        <is>
          <t>Sum of group respondents equals the last step</t>
        </is>
      </c>
      <c r="B32" s="14">
        <f>SUM(B18:B23)</f>
        <v>5873.0</v>
      </c>
      <c r="C32" s="14">
        <f>C12</f>
        <v>5873</v>
      </c>
      <c r="D32" s="15">
        <f>ABS(B32-C32)</f>
        <v>0.0</v>
      </c>
      <c r="E32" t="str">
        <f>IF(D32&lt;=1e-06,"PASS","FAIL")</f>
        <v>PASS</v>
      </c>
    </row>
    <row r="33">
      <c r="A33" t="inlineStr">
        <is>
          <t>All groups row equals the sum of groups</t>
        </is>
      </c>
      <c r="B33" s="14">
        <f>B24</f>
        <v>5873</v>
      </c>
      <c r="C33" s="14">
        <f>SUM(B18:B23)</f>
        <v>5873.0</v>
      </c>
      <c r="D33" s="15">
        <f>ABS(B33-C33)</f>
        <v>0.0</v>
      </c>
      <c r="E33" t="str">
        <f>IF(D33&lt;=1e-06,"PASS","FAIL")</f>
        <v>PASS</v>
      </c>
    </row>
    <row r="34">
      <c r="A34" t="inlineStr">
        <is>
          <t>Diagnosed plus undiagnosed equals HbA1c positives (All groups)</t>
        </is>
      </c>
      <c r="B34" s="14">
        <f>E24+F24</f>
        <v>711.0</v>
      </c>
      <c r="C34" s="14">
        <f>D24</f>
        <v>711</v>
      </c>
      <c r="D34" s="15">
        <f>ABS(B34-C34)</f>
        <v>0.0</v>
      </c>
      <c r="E34" t="str">
        <f>IF(D34&lt;=1e-06,"PASS","FAIL")</f>
        <v>PASS</v>
      </c>
    </row>
    <row r="35">
      <c r="A35" t="inlineStr">
        <is>
          <t>Total removed equals first minus last step</t>
        </is>
      </c>
      <c r="B35" s="14">
        <f>SUM(D6:D12)</f>
        <v>3381.0</v>
      </c>
      <c r="C35" s="14">
        <f>C6-C12</f>
        <v>3381.0</v>
      </c>
      <c r="D35" s="15">
        <f>ABS(B35-C35)</f>
        <v>0.0</v>
      </c>
      <c r="E35" t="str">
        <f>IF(D35&lt;=1e-06,"PASS","FAIL")</f>
        <v>PASS</v>
      </c>
    </row>
    <row r="36">
      <c r="A36" s="16" t="inlineStr">
        <is>
          <t>Overall</t>
        </is>
      </c>
      <c r="B36" s="16" t="str">
        <f>IF(COUNTIF(E30:E35,"FAIL")=0,"ALL CHECKS PASS","REVIEW")</f>
        <v>ALL CHECKS PASS</v>
      </c>
    </row>
  </sheetData>
  <conditionalFormatting sqref="A1:R400">
    <cfRule type="cellIs" priority="1" operator="equal" dxfId="0">
      <formula>"FAIL"</formula>
    </cfRule>
    <cfRule type="cellIs" priority="2" operator="equal" dxfId="0">
      <formula>"REVIEW"</formula>
    </cfRule>
    <cfRule type="cellIs" priority="3" operator="equal" dxfId="1">
      <formula>"PASS"</formula>
    </cfRule>
    <cfRule type="cellIs" priority="4" operator="equal" dxfId="1">
      <formula>"ALL CHECKS PASS"</formula>
    </cfRule>
    <cfRule type="cellIs" priority="5" operator="equal" dxfId="2">
      <formula>"SMALL SAMPLE"</formula>
    </cfRule>
    <cfRule type="expression" priority="6" dxfId="2">
      <formula>LEFT(A1,11)="Exploratory"</formula>
    </cfRule>
  </conditionalFormatting>
  <pageMargins left="0.75" right="0.75" top="1" bottom="1" header="0.5" footer="0.5"/>
  <pageSetup orientation="landscape" fitToHeight="0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9" customWidth="1" min="2" max="2"/>
    <col width="26" customWidth="1" min="3" max="3"/>
    <col width="23" customWidth="1" min="4" max="4"/>
    <col width="23" customWidth="1" min="5" max="5"/>
    <col width="13" customWidth="1" min="6" max="6"/>
    <col width="13" customWidth="1" min="7" max="7"/>
    <col width="13" customWidth="1" min="8" max="8"/>
    <col width="19" customWidth="1" min="9" max="9"/>
    <col width="20" customWidth="1" min="10" max="10"/>
    <col width="30" customWidth="1" min="11" max="11"/>
    <col width="19" customWidth="1" min="12" max="12"/>
    <col width="23" customWidth="1" min="13" max="13"/>
    <col width="13" customWidth="1" min="14" max="14"/>
    <col width="22" customWidth="1" min="15" max="15"/>
    <col width="15" customWidth="1" min="16" max="16"/>
  </cols>
  <sheetData>
    <row r="1">
      <c r="A1" s="1" t="inlineStr">
        <is>
          <t>NHANES 2017-2018 public-use survey data. Descriptive care-gap monitoring, not a certified quality measure, not clinical guidance, and no respondent-level rows.</t>
        </is>
      </c>
    </row>
    <row r="2">
      <c r="A2" s="2" t="inlineStr">
        <is>
          <t>Care gaps: undiagnosed diabetes among people meeting the HbA1c criterion</t>
        </is>
      </c>
    </row>
    <row r="3">
      <c r="A3" s="3" t="inlineStr">
        <is>
          <t>Weighted estimate with a 95% logit interval, unweighted n and Kish effective n. Rows flagged SMALL SAMPLE have wide intervals.</t>
        </is>
      </c>
    </row>
    <row r="5">
      <c r="A5" s="5" t="inlineStr">
        <is>
          <t>group</t>
        </is>
      </c>
      <c r="B5" s="5" t="inlineStr">
        <is>
          <t>hba1c_positive_respondents</t>
        </is>
      </c>
      <c r="C5" s="5" t="inlineStr">
        <is>
          <t>undiagnosed_respondents</t>
        </is>
      </c>
      <c r="D5" s="5" t="inlineStr">
        <is>
          <t>weighted_denominator</t>
        </is>
      </c>
      <c r="E5" s="5" t="inlineStr">
        <is>
          <t>weighted_undiagnosed</t>
        </is>
      </c>
      <c r="F5" s="5" t="inlineStr">
        <is>
          <t>estimate</t>
        </is>
      </c>
      <c r="G5" s="5" t="inlineStr">
        <is>
          <t>ci_low</t>
        </is>
      </c>
      <c r="H5" s="5" t="inlineStr">
        <is>
          <t>ci_high</t>
        </is>
      </c>
      <c r="I5" s="5" t="inlineStr">
        <is>
          <t>effective_n_kish</t>
        </is>
      </c>
      <c r="J5" s="5" t="inlineStr">
        <is>
          <t>small_sample_warning</t>
        </is>
      </c>
      <c r="K5" s="5" t="inlineStr">
        <is>
          <t>respondents_per_group_summary</t>
        </is>
      </c>
      <c r="L5" s="5" t="inlineStr">
        <is>
          <t>unweighted_share</t>
        </is>
      </c>
      <c r="M5" s="5" t="inlineStr">
        <is>
          <t>weighted_share_check</t>
        </is>
      </c>
      <c r="N5" s="5" t="inlineStr">
        <is>
          <t>ci_width</t>
        </is>
      </c>
      <c r="O5" s="5" t="inlineStr">
        <is>
          <t>estimate_reconciles</t>
        </is>
      </c>
      <c r="P5" s="5" t="inlineStr">
        <is>
          <t>n_reconciles</t>
        </is>
      </c>
    </row>
    <row r="6">
      <c r="A6" t="inlineStr">
        <is>
          <t>Non-Hispanic White</t>
        </is>
      </c>
      <c r="B6" s="9" t="n">
        <v>203</v>
      </c>
      <c r="C6" s="9" t="n">
        <v>19</v>
      </c>
      <c r="D6" s="9" t="n">
        <v>12789945.01230533</v>
      </c>
      <c r="E6" s="9" t="n">
        <v>1643434.388907951</v>
      </c>
      <c r="F6" s="6" t="n">
        <v>0.1284942497662645</v>
      </c>
      <c r="G6" s="6" t="n">
        <v>0.07535225371020809</v>
      </c>
      <c r="H6" s="6" t="n">
        <v>0.2105792134781157</v>
      </c>
      <c r="I6" s="7" t="n">
        <v>104.6003804515824</v>
      </c>
      <c r="J6" t="inlineStr">
        <is>
          <t>OK</t>
        </is>
      </c>
      <c r="K6" s="9" t="n">
        <v>203</v>
      </c>
      <c r="L6" s="6">
        <f>C6/B6</f>
        <v>0.09359605911330049</v>
      </c>
      <c r="M6" s="6">
        <f>E6/D6</f>
        <v>0.12849424976626458</v>
      </c>
      <c r="N6" s="6">
        <f>H6-G6</f>
        <v>0.135226959767908</v>
      </c>
      <c r="O6" t="str">
        <f>IF(ABS(M6-F6)&lt;=1e-06,"PASS","FAIL")</f>
        <v>PASS</v>
      </c>
      <c r="P6" t="str">
        <f>IF(B6=K6,"PASS","FAIL")</f>
        <v>PASS</v>
      </c>
    </row>
    <row r="7">
      <c r="A7" t="inlineStr">
        <is>
          <t>Non-Hispanic Black</t>
        </is>
      </c>
      <c r="B7" s="9" t="n">
        <v>181</v>
      </c>
      <c r="C7" s="9" t="n">
        <v>50</v>
      </c>
      <c r="D7" s="9" t="n">
        <v>3215431.989935738</v>
      </c>
      <c r="E7" s="9" t="n">
        <v>1036531.410590671</v>
      </c>
      <c r="F7" s="6" t="n">
        <v>0.3223614785929236</v>
      </c>
      <c r="G7" s="6" t="n">
        <v>0.2303129532551633</v>
      </c>
      <c r="H7" s="6" t="n">
        <v>0.4306165736125146</v>
      </c>
      <c r="I7" s="7" t="n">
        <v>140.9224638484511</v>
      </c>
      <c r="J7" t="inlineStr">
        <is>
          <t>OK</t>
        </is>
      </c>
      <c r="K7" s="9" t="n">
        <v>181</v>
      </c>
      <c r="L7" s="6">
        <f>C7/B7</f>
        <v>0.27624309392265195</v>
      </c>
      <c r="M7" s="6">
        <f>E7/D7</f>
        <v>0.3223614785929236</v>
      </c>
      <c r="N7" s="6">
        <f>H7-G7</f>
        <v>0.200303620357352</v>
      </c>
      <c r="O7" t="str">
        <f>IF(ABS(M7-F7)&lt;=1e-06,"PASS","FAIL")</f>
        <v>PASS</v>
      </c>
      <c r="P7" t="str">
        <f>IF(B7=K7,"PASS","FAIL")</f>
        <v>PASS</v>
      </c>
    </row>
    <row r="8">
      <c r="A8" t="inlineStr">
        <is>
          <t>Mexican American</t>
        </is>
      </c>
      <c r="B8" s="9" t="n">
        <v>112</v>
      </c>
      <c r="C8" s="9" t="n">
        <v>25</v>
      </c>
      <c r="D8" s="9" t="n">
        <v>2179448.791553468</v>
      </c>
      <c r="E8" s="9" t="n">
        <v>494559.4867078324</v>
      </c>
      <c r="F8" s="6" t="n">
        <v>0.2269195259941483</v>
      </c>
      <c r="G8" s="6" t="n">
        <v>0.1294497599704061</v>
      </c>
      <c r="H8" s="6" t="n">
        <v>0.3668526766879644</v>
      </c>
      <c r="I8" s="7" t="n">
        <v>70.72659750652981</v>
      </c>
      <c r="J8" t="inlineStr">
        <is>
          <t>OK</t>
        </is>
      </c>
      <c r="K8" s="9" t="n">
        <v>112</v>
      </c>
      <c r="L8" s="6">
        <f>C8/B8</f>
        <v>0.22321428571428573</v>
      </c>
      <c r="M8" s="6">
        <f>E8/D8</f>
        <v>0.22691952599414836</v>
      </c>
      <c r="N8" s="6">
        <f>H8-G8</f>
        <v>0.237402916717558</v>
      </c>
      <c r="O8" t="str">
        <f>IF(ABS(M8-F8)&lt;=1e-06,"PASS","FAIL")</f>
        <v>PASS</v>
      </c>
      <c r="P8" t="str">
        <f>IF(B8=K8,"PASS","FAIL")</f>
        <v>PASS</v>
      </c>
    </row>
    <row r="9">
      <c r="A9" t="inlineStr">
        <is>
          <t>Other Hispanic</t>
        </is>
      </c>
      <c r="B9" s="9" t="n">
        <v>74</v>
      </c>
      <c r="C9" s="9" t="n">
        <v>20</v>
      </c>
      <c r="D9" s="9" t="n">
        <v>1460659.686289938</v>
      </c>
      <c r="E9" s="9" t="n">
        <v>459954.2706407341</v>
      </c>
      <c r="F9" s="6" t="n">
        <v>0.3148948895885622</v>
      </c>
      <c r="G9" s="6" t="n">
        <v>0.1380142219409032</v>
      </c>
      <c r="H9" s="6" t="n">
        <v>0.5688633829549252</v>
      </c>
      <c r="I9" s="7" t="n">
        <v>53.36908782768276</v>
      </c>
      <c r="J9" t="inlineStr">
        <is>
          <t>OK</t>
        </is>
      </c>
      <c r="K9" s="9" t="n">
        <v>74</v>
      </c>
      <c r="L9" s="6">
        <f>C9/B9</f>
        <v>0.2702702702702703</v>
      </c>
      <c r="M9" s="6">
        <f>E9/D9</f>
        <v>0.3148948895885623</v>
      </c>
      <c r="N9" s="6">
        <f>H9-G9</f>
        <v>0.43084916101402204</v>
      </c>
      <c r="O9" t="str">
        <f>IF(ABS(M9-F9)&lt;=1e-06,"PASS","FAIL")</f>
        <v>PASS</v>
      </c>
      <c r="P9" t="str">
        <f>IF(B9=K9,"PASS","FAIL")</f>
        <v>PASS</v>
      </c>
    </row>
    <row r="10">
      <c r="A10" t="inlineStr">
        <is>
          <t>Non-Hispanic Asian</t>
        </is>
      </c>
      <c r="B10" s="9" t="n">
        <v>102</v>
      </c>
      <c r="C10" s="9" t="n">
        <v>29</v>
      </c>
      <c r="D10" s="9" t="n">
        <v>1619475.616935517</v>
      </c>
      <c r="E10" s="9" t="n">
        <v>448987.314459143</v>
      </c>
      <c r="F10" s="6" t="n">
        <v>0.2772424047413246</v>
      </c>
      <c r="G10" s="6" t="n">
        <v>0.1839542319791043</v>
      </c>
      <c r="H10" s="6" t="n">
        <v>0.3949433236528997</v>
      </c>
      <c r="I10" s="7" t="n">
        <v>88.86867277325152</v>
      </c>
      <c r="J10" t="inlineStr">
        <is>
          <t>OK</t>
        </is>
      </c>
      <c r="K10" s="9" t="n">
        <v>102</v>
      </c>
      <c r="L10" s="6">
        <f>C10/B10</f>
        <v>0.28431372549019607</v>
      </c>
      <c r="M10" s="6">
        <f>E10/D10</f>
        <v>0.2772424047413246</v>
      </c>
      <c r="N10" s="6">
        <f>H10-G10</f>
        <v>0.21098909167379604</v>
      </c>
      <c r="O10" t="str">
        <f>IF(ABS(M10-F10)&lt;=1e-06,"PASS","FAIL")</f>
        <v>PASS</v>
      </c>
      <c r="P10" t="str">
        <f>IF(B10=K10,"PASS","FAIL")</f>
        <v>PASS</v>
      </c>
    </row>
    <row r="11">
      <c r="A11" t="inlineStr">
        <is>
          <t>Other/Multiracial</t>
        </is>
      </c>
      <c r="B11" s="9" t="n">
        <v>39</v>
      </c>
      <c r="C11" s="9" t="n">
        <v>9</v>
      </c>
      <c r="D11" s="9" t="n">
        <v>1215201.21699958</v>
      </c>
      <c r="E11" s="9" t="n">
        <v>161914.3153846397</v>
      </c>
      <c r="F11" s="6" t="n">
        <v>0.13324074492323</v>
      </c>
      <c r="G11" s="6" t="n">
        <v>0.0555209788520978</v>
      </c>
      <c r="H11" s="6" t="n">
        <v>0.2867267759907287</v>
      </c>
      <c r="I11" s="7" t="n">
        <v>16.26993925564318</v>
      </c>
      <c r="J11" t="inlineStr">
        <is>
          <t>SMALL SAMPLE</t>
        </is>
      </c>
      <c r="K11" s="9" t="n">
        <v>39</v>
      </c>
      <c r="L11" s="6">
        <f>C11/B11</f>
        <v>0.23076923076923078</v>
      </c>
      <c r="M11" s="6">
        <f>E11/D11</f>
        <v>0.13324074492323</v>
      </c>
      <c r="N11" s="6">
        <f>H11-G11</f>
        <v>0.231205797138631</v>
      </c>
      <c r="O11" t="str">
        <f>IF(ABS(M11-F11)&lt;=1e-06,"PASS","FAIL")</f>
        <v>PASS</v>
      </c>
      <c r="P11" t="str">
        <f>IF(B11=K11,"PASS","FAIL")</f>
        <v>PASS</v>
      </c>
    </row>
    <row r="12">
      <c r="A12" t="inlineStr">
        <is>
          <t>All groups</t>
        </is>
      </c>
      <c r="B12" s="9" t="n">
        <v>711</v>
      </c>
      <c r="C12" s="9" t="n">
        <v>152</v>
      </c>
      <c r="D12" s="9" t="n">
        <v>22480162.31401958</v>
      </c>
      <c r="E12" s="9" t="n">
        <v>4245381.186690973</v>
      </c>
      <c r="F12" s="6" t="n">
        <v>0.1888501127077438</v>
      </c>
      <c r="G12" s="6" t="n">
        <v>0.1554103141948833</v>
      </c>
      <c r="H12" s="6" t="n">
        <v>0.2275466590100687</v>
      </c>
      <c r="I12" s="7" t="n">
        <v>271.0185017900856</v>
      </c>
      <c r="J12" t="inlineStr">
        <is>
          <t>OK</t>
        </is>
      </c>
      <c r="K12" s="9" t="n">
        <v>711</v>
      </c>
      <c r="L12" s="6">
        <f>C12/B12</f>
        <v>0.21378340365682139</v>
      </c>
      <c r="M12" s="6">
        <f>E12/D12</f>
        <v>0.18885011270774385</v>
      </c>
      <c r="N12" s="6">
        <f>H12-G12</f>
        <v>0.07213634481518602</v>
      </c>
      <c r="O12" t="str">
        <f>IF(ABS(M12-F12)&lt;=1e-06,"PASS","FAIL")</f>
        <v>PASS</v>
      </c>
      <c r="P12" t="str">
        <f>IF(B12=K12,"PASS","FAIL")</f>
        <v>PASS</v>
      </c>
    </row>
    <row r="14">
      <c r="A14" s="4" t="inlineStr">
        <is>
          <t>Weighted undiagnosed share and people counts reconcile to group_summary.csv and undiagnosis_estimates.csv. Unweighted share is shown for context only.</t>
        </is>
      </c>
    </row>
  </sheetData>
  <conditionalFormatting sqref="A1:R400">
    <cfRule type="cellIs" priority="1" operator="equal" dxfId="0">
      <formula>"FAIL"</formula>
    </cfRule>
    <cfRule type="cellIs" priority="2" operator="equal" dxfId="0">
      <formula>"REVIEW"</formula>
    </cfRule>
    <cfRule type="cellIs" priority="3" operator="equal" dxfId="1">
      <formula>"PASS"</formula>
    </cfRule>
    <cfRule type="cellIs" priority="4" operator="equal" dxfId="1">
      <formula>"ALL CHECKS PASS"</formula>
    </cfRule>
    <cfRule type="cellIs" priority="5" operator="equal" dxfId="2">
      <formula>"SMALL SAMPLE"</formula>
    </cfRule>
    <cfRule type="expression" priority="6" dxfId="2">
      <formula>LEFT(A1,11)="Exploratory"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9" customWidth="1" min="2" max="2"/>
    <col width="19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5" customWidth="1" min="10" max="10"/>
    <col width="13" customWidth="1" min="11" max="11"/>
    <col width="15" customWidth="1" min="12" max="12"/>
    <col width="16" customWidth="1" min="13" max="13"/>
    <col width="13" customWidth="1" min="14" max="14"/>
    <col width="15" customWidth="1" min="15" max="15"/>
    <col width="16" customWidth="1" min="16" max="16"/>
    <col width="52" customWidth="1" min="17" max="17"/>
    <col width="25" customWidth="1" min="18" max="18"/>
    <col width="22" customWidth="1" min="19" max="19"/>
  </cols>
  <sheetData>
    <row r="1">
      <c r="A1" s="1" t="inlineStr">
        <is>
          <t>NHANES 2017-2018 public-use survey data. Descriptive care-gap monitoring, not a certified quality measure, not clinical guidance, and no respondent-level rows.</t>
        </is>
      </c>
    </row>
    <row r="2">
      <c r="A2" s="2" t="inlineStr">
        <is>
          <t>Subgroup review: undiagnosed share by group and comparison with the reference group</t>
        </is>
      </c>
    </row>
    <row r="3">
      <c r="A3" s="3" t="inlineStr">
        <is>
          <t>Only the pre-specified comparison is confirmatory. Every other comparison is exploratory and labelled with its Holm-adjusted p-value (labels use 0.05 as a display convention).</t>
        </is>
      </c>
    </row>
    <row r="5">
      <c r="A5" s="5" t="inlineStr">
        <is>
          <t>group</t>
        </is>
      </c>
      <c r="B5" s="5" t="inlineStr">
        <is>
          <t>hba1c_positive_respondents</t>
        </is>
      </c>
      <c r="C5" s="5" t="inlineStr">
        <is>
          <t>effective_n_kish</t>
        </is>
      </c>
      <c r="D5" s="5" t="inlineStr">
        <is>
          <t>small_sample_warning</t>
        </is>
      </c>
      <c r="E5" s="5" t="inlineStr">
        <is>
          <t>estimate</t>
        </is>
      </c>
      <c r="F5" s="5" t="inlineStr">
        <is>
          <t>ci_low</t>
        </is>
      </c>
      <c r="G5" s="5" t="inlineStr">
        <is>
          <t>ci_high</t>
        </is>
      </c>
      <c r="H5" s="5" t="inlineStr">
        <is>
          <t>difference</t>
        </is>
      </c>
      <c r="I5" s="5" t="inlineStr">
        <is>
          <t>diff_ci_low</t>
        </is>
      </c>
      <c r="J5" s="5" t="inlineStr">
        <is>
          <t>diff_ci_high</t>
        </is>
      </c>
      <c r="K5" s="5" t="inlineStr">
        <is>
          <t>ratio</t>
        </is>
      </c>
      <c r="L5" s="5" t="inlineStr">
        <is>
          <t>ratio_ci_low</t>
        </is>
      </c>
      <c r="M5" s="5" t="inlineStr">
        <is>
          <t>ratio_ci_high</t>
        </is>
      </c>
      <c r="N5" s="5" t="inlineStr">
        <is>
          <t>p_value</t>
        </is>
      </c>
      <c r="O5" s="5" t="inlineStr">
        <is>
          <t>p_value_holm</t>
        </is>
      </c>
      <c r="P5" s="5" t="inlineStr">
        <is>
          <t>analysis_type</t>
        </is>
      </c>
      <c r="Q5" s="5" t="inlineStr">
        <is>
          <t>review_label</t>
        </is>
      </c>
      <c r="R5" s="5" t="inlineStr">
        <is>
          <t>interval_excludes_zero</t>
        </is>
      </c>
      <c r="S5" s="5" t="inlineStr">
        <is>
          <t>holm_at_least_raw_p</t>
        </is>
      </c>
    </row>
    <row r="6">
      <c r="A6" t="inlineStr">
        <is>
          <t>Non-Hispanic White</t>
        </is>
      </c>
      <c r="B6" s="9" t="n">
        <v>203</v>
      </c>
      <c r="C6" s="7" t="n">
        <v>104.6003804515824</v>
      </c>
      <c r="D6" t="inlineStr">
        <is>
          <t>OK</t>
        </is>
      </c>
      <c r="E6" s="6" t="n">
        <v>0.1284942497662645</v>
      </c>
      <c r="F6" s="6" t="n">
        <v>0.07535225371020809</v>
      </c>
      <c r="G6" s="6" t="n">
        <v>0.2105792134781157</v>
      </c>
      <c r="H6" s="10" t="n"/>
      <c r="I6" s="10" t="n"/>
      <c r="J6" s="10" t="n"/>
      <c r="K6" s="17" t="n"/>
      <c r="L6" s="17" t="n"/>
      <c r="M6" s="17" t="n"/>
      <c r="N6" s="18" t="n"/>
      <c r="O6" s="18" t="n"/>
      <c r="Q6" t="str">
        <f>IF(P6="","Reference group",IF(P6="confirmatory","Pre-specified comparison","Exploratory: "&amp;IF(O6&lt;0.05,"below 0.05 after Holm adjustment","not below 0.05 after Holm adjustment")))</f>
        <v>Reference group</v>
      </c>
      <c r="R6" t="str">
        <f>IF(H6="","",IF(OR(I6&gt;0,J6&lt;0),"YES","NO"))</f>
        <v/>
      </c>
      <c r="S6" t="str">
        <f>IF(N6="","",IF(O6&gt;=N6-1e-06,"PASS","FAIL"))</f>
        <v/>
      </c>
    </row>
    <row r="7">
      <c r="A7" t="inlineStr">
        <is>
          <t>Non-Hispanic Black</t>
        </is>
      </c>
      <c r="B7" s="9" t="n">
        <v>181</v>
      </c>
      <c r="C7" s="7" t="n">
        <v>140.9224638484511</v>
      </c>
      <c r="D7" t="inlineStr">
        <is>
          <t>OK</t>
        </is>
      </c>
      <c r="E7" s="6" t="n">
        <v>0.3223614785929236</v>
      </c>
      <c r="F7" s="6" t="n">
        <v>0.2303129532551633</v>
      </c>
      <c r="G7" s="6" t="n">
        <v>0.4306165736125146</v>
      </c>
      <c r="H7" s="10" t="n">
        <v>0.193867228826659</v>
      </c>
      <c r="I7" s="10" t="n">
        <v>0.0702029639453438</v>
      </c>
      <c r="J7" s="10" t="n">
        <v>0.3175314937079743</v>
      </c>
      <c r="K7" s="17" t="n">
        <v>2.508761903192636</v>
      </c>
      <c r="L7" s="17" t="n">
        <v>1.341886433016171</v>
      </c>
      <c r="M7" s="17" t="n">
        <v>4.690327088831138</v>
      </c>
      <c r="N7" s="18" t="n">
        <v>0.0044629132371464</v>
      </c>
      <c r="O7" s="18" t="n">
        <v>0.022314566185732</v>
      </c>
      <c r="P7" t="inlineStr">
        <is>
          <t>confirmatory</t>
        </is>
      </c>
      <c r="Q7" t="str">
        <f>IF(P7="","Reference group",IF(P7="confirmatory","Pre-specified comparison","Exploratory: "&amp;IF(O7&lt;0.05,"below 0.05 after Holm adjustment","not below 0.05 after Holm adjustment")))</f>
        <v>Pre-specified comparison</v>
      </c>
      <c r="R7" t="str">
        <f>IF(H7="","",IF(OR(I7&gt;0,J7&lt;0),"YES","NO"))</f>
        <v>YES</v>
      </c>
      <c r="S7" t="str">
        <f>IF(N7="","",IF(O7&gt;=N7-1e-06,"PASS","FAIL"))</f>
        <v>PASS</v>
      </c>
    </row>
    <row r="8">
      <c r="A8" t="inlineStr">
        <is>
          <t>Mexican American</t>
        </is>
      </c>
      <c r="B8" s="9" t="n">
        <v>112</v>
      </c>
      <c r="C8" s="7" t="n">
        <v>70.72659750652981</v>
      </c>
      <c r="D8" t="inlineStr">
        <is>
          <t>OK</t>
        </is>
      </c>
      <c r="E8" s="6" t="n">
        <v>0.2269195259941483</v>
      </c>
      <c r="F8" s="6" t="n">
        <v>0.1294497599704061</v>
      </c>
      <c r="G8" s="6" t="n">
        <v>0.3668526766879644</v>
      </c>
      <c r="H8" s="10" t="n">
        <v>0.0984252762278838</v>
      </c>
      <c r="I8" s="10" t="n">
        <v>-0.0588574598384178</v>
      </c>
      <c r="J8" s="10" t="n">
        <v>0.2557080122941855</v>
      </c>
      <c r="K8" s="17" t="n">
        <v>1.76598973422486</v>
      </c>
      <c r="L8" s="17" t="n">
        <v>0.7211471629874612</v>
      </c>
      <c r="M8" s="17" t="n">
        <v>4.32466478612746</v>
      </c>
      <c r="N8" s="18" t="n">
        <v>0.202159389973528</v>
      </c>
      <c r="O8" s="18" t="n">
        <v>0.404318779947056</v>
      </c>
      <c r="P8" t="inlineStr">
        <is>
          <t>exploratory</t>
        </is>
      </c>
      <c r="Q8" t="str">
        <f>IF(P8="","Reference group",IF(P8="confirmatory","Pre-specified comparison","Exploratory: "&amp;IF(O8&lt;0.05,"below 0.05 after Holm adjustment","not below 0.05 after Holm adjustment")))</f>
        <v>Exploratory: not below 0.05 after Holm adjustment</v>
      </c>
      <c r="R8" t="str">
        <f>IF(H8="","",IF(OR(I8&gt;0,J8&lt;0),"YES","NO"))</f>
        <v>NO</v>
      </c>
      <c r="S8" t="str">
        <f>IF(N8="","",IF(O8&gt;=N8-1e-06,"PASS","FAIL"))</f>
        <v>PASS</v>
      </c>
    </row>
    <row r="9">
      <c r="A9" t="inlineStr">
        <is>
          <t>Other Hispanic</t>
        </is>
      </c>
      <c r="B9" s="9" t="n">
        <v>74</v>
      </c>
      <c r="C9" s="7" t="n">
        <v>53.36908782768276</v>
      </c>
      <c r="D9" t="inlineStr">
        <is>
          <t>OK</t>
        </is>
      </c>
      <c r="E9" s="6" t="n">
        <v>0.3148948895885622</v>
      </c>
      <c r="F9" s="6" t="n">
        <v>0.1380142219409032</v>
      </c>
      <c r="G9" s="6" t="n">
        <v>0.5688633829549252</v>
      </c>
      <c r="H9" s="10" t="n">
        <v>0.1864006398222977</v>
      </c>
      <c r="I9" s="10" t="n">
        <v>-0.0420660509778093</v>
      </c>
      <c r="J9" s="10" t="n">
        <v>0.4148673306224048</v>
      </c>
      <c r="K9" s="17" t="n">
        <v>2.450653551901092</v>
      </c>
      <c r="L9" s="17" t="n">
        <v>1.002376919015633</v>
      </c>
      <c r="M9" s="17" t="n">
        <v>5.991461612407474</v>
      </c>
      <c r="N9" s="18" t="n">
        <v>0.102509483328594</v>
      </c>
      <c r="O9" s="18" t="n">
        <v>0.307528449985782</v>
      </c>
      <c r="P9" t="inlineStr">
        <is>
          <t>exploratory</t>
        </is>
      </c>
      <c r="Q9" t="str">
        <f>IF(P9="","Reference group",IF(P9="confirmatory","Pre-specified comparison","Exploratory: "&amp;IF(O9&lt;0.05,"below 0.05 after Holm adjustment","not below 0.05 after Holm adjustment")))</f>
        <v>Exploratory: not below 0.05 after Holm adjustment</v>
      </c>
      <c r="R9" t="str">
        <f>IF(H9="","",IF(OR(I9&gt;0,J9&lt;0),"YES","NO"))</f>
        <v>NO</v>
      </c>
      <c r="S9" t="str">
        <f>IF(N9="","",IF(O9&gt;=N9-1e-06,"PASS","FAIL"))</f>
        <v>PASS</v>
      </c>
    </row>
    <row r="10">
      <c r="A10" t="inlineStr">
        <is>
          <t>Non-Hispanic Asian</t>
        </is>
      </c>
      <c r="B10" s="9" t="n">
        <v>102</v>
      </c>
      <c r="C10" s="7" t="n">
        <v>88.86867277325152</v>
      </c>
      <c r="D10" t="inlineStr">
        <is>
          <t>OK</t>
        </is>
      </c>
      <c r="E10" s="6" t="n">
        <v>0.2772424047413246</v>
      </c>
      <c r="F10" s="6" t="n">
        <v>0.1839542319791043</v>
      </c>
      <c r="G10" s="6" t="n">
        <v>0.3949433236528997</v>
      </c>
      <c r="H10" s="10" t="n">
        <v>0.1487481549750601</v>
      </c>
      <c r="I10" s="10" t="n">
        <v>0.0209761605157127</v>
      </c>
      <c r="J10" s="10" t="n">
        <v>0.2765201494344074</v>
      </c>
      <c r="K10" s="17" t="n">
        <v>2.15762499291321</v>
      </c>
      <c r="L10" s="17" t="n">
        <v>1.108657103657286</v>
      </c>
      <c r="M10" s="17" t="n">
        <v>4.199085176730001</v>
      </c>
      <c r="N10" s="18" t="n">
        <v>0.0254230441435568</v>
      </c>
      <c r="O10" s="18" t="n">
        <v>0.1016921765742272</v>
      </c>
      <c r="P10" t="inlineStr">
        <is>
          <t>exploratory</t>
        </is>
      </c>
      <c r="Q10" t="str">
        <f>IF(P10="","Reference group",IF(P10="confirmatory","Pre-specified comparison","Exploratory: "&amp;IF(O10&lt;0.05,"below 0.05 after Holm adjustment","not below 0.05 after Holm adjustment")))</f>
        <v>Exploratory: not below 0.05 after Holm adjustment</v>
      </c>
      <c r="R10" t="str">
        <f>IF(H10="","",IF(OR(I10&gt;0,J10&lt;0),"YES","NO"))</f>
        <v>YES</v>
      </c>
      <c r="S10" t="str">
        <f>IF(N10="","",IF(O10&gt;=N10-1e-06,"PASS","FAIL"))</f>
        <v>PASS</v>
      </c>
    </row>
    <row r="11">
      <c r="A11" t="inlineStr">
        <is>
          <t>Other/Multiracial</t>
        </is>
      </c>
      <c r="B11" s="9" t="n">
        <v>39</v>
      </c>
      <c r="C11" s="7" t="n">
        <v>16.26993925564318</v>
      </c>
      <c r="D11" t="inlineStr">
        <is>
          <t>SMALL SAMPLE</t>
        </is>
      </c>
      <c r="E11" s="6" t="n">
        <v>0.13324074492323</v>
      </c>
      <c r="F11" s="6" t="n">
        <v>0.0555209788520978</v>
      </c>
      <c r="G11" s="6" t="n">
        <v>0.2867267759907287</v>
      </c>
      <c r="H11" s="10" t="n">
        <v>0.0047464951569654</v>
      </c>
      <c r="I11" s="10" t="n">
        <v>-0.1048269731337553</v>
      </c>
      <c r="J11" s="10" t="n">
        <v>0.1143199634476862</v>
      </c>
      <c r="K11" s="17" t="n">
        <v>1.036939358497361</v>
      </c>
      <c r="L11" s="17" t="n">
        <v>0.452236795020399</v>
      </c>
      <c r="M11" s="17" t="n">
        <v>2.377611121077439</v>
      </c>
      <c r="N11" s="18" t="n">
        <v>0.9272933371786252</v>
      </c>
      <c r="O11" s="18" t="n">
        <v>0.9272933371786252</v>
      </c>
      <c r="P11" t="inlineStr">
        <is>
          <t>exploratory</t>
        </is>
      </c>
      <c r="Q11" t="str">
        <f>IF(P11="","Reference group",IF(P11="confirmatory","Pre-specified comparison","Exploratory: "&amp;IF(O11&lt;0.05,"below 0.05 after Holm adjustment","not below 0.05 after Holm adjustment")))</f>
        <v>Exploratory: not below 0.05 after Holm adjustment</v>
      </c>
      <c r="R11" t="str">
        <f>IF(H11="","",IF(OR(I11&gt;0,J11&lt;0),"YES","NO"))</f>
        <v>NO</v>
      </c>
      <c r="S11" t="str">
        <f>IF(N11="","",IF(O11&gt;=N11-1e-06,"PASS","FAIL"))</f>
        <v>PASS</v>
      </c>
    </row>
    <row r="13">
      <c r="A13" s="4" t="inlineStr">
        <is>
          <t>Difference is the group's undiagnosed share minus the reference group's, in percentage points. Intervals are 95%.</t>
        </is>
      </c>
    </row>
  </sheetData>
  <conditionalFormatting sqref="A1:R400">
    <cfRule type="cellIs" priority="1" operator="equal" dxfId="0">
      <formula>"FAIL"</formula>
    </cfRule>
    <cfRule type="cellIs" priority="2" operator="equal" dxfId="0">
      <formula>"REVIEW"</formula>
    </cfRule>
    <cfRule type="cellIs" priority="3" operator="equal" dxfId="1">
      <formula>"PASS"</formula>
    </cfRule>
    <cfRule type="cellIs" priority="4" operator="equal" dxfId="1">
      <formula>"ALL CHECKS PASS"</formula>
    </cfRule>
    <cfRule type="cellIs" priority="5" operator="equal" dxfId="2">
      <formula>"SMALL SAMPLE"</formula>
    </cfRule>
    <cfRule type="expression" priority="6" dxfId="2">
      <formula>LEFT(A1,11)="Exploratory"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0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46" customWidth="1" min="3" max="3"/>
    <col width="22" customWidth="1" min="4" max="4"/>
    <col width="23" customWidth="1" min="5" max="5"/>
    <col width="24" customWidth="1" min="6" max="6"/>
    <col width="24" customWidth="1" min="7" max="7"/>
    <col width="23" customWidth="1" min="8" max="8"/>
    <col width="20" customWidth="1" min="9" max="9"/>
    <col width="30" customWidth="1" min="10" max="10"/>
    <col width="22" customWidth="1" min="11" max="11"/>
    <col width="19" customWidth="1" min="12" max="12"/>
    <col width="21" customWidth="1" min="13" max="13"/>
    <col width="22" customWidth="1" min="14" max="14"/>
    <col width="14" customWidth="1" min="15" max="15"/>
    <col width="15" customWidth="1" min="16" max="16"/>
    <col width="28" customWidth="1" min="17" max="17"/>
    <col width="29" customWidth="1" min="18" max="18"/>
    <col width="30" customWidth="1" min="19" max="19"/>
  </cols>
  <sheetData>
    <row r="1">
      <c r="A1" s="1" t="inlineStr">
        <is>
          <t>NHANES 2017-2018 public-use survey data. Descriptive care-gap monitoring, not a certified quality measure, not clinical guidance, and no respondent-level rows.</t>
        </is>
      </c>
    </row>
    <row r="2">
      <c r="A2" s="2" t="inlineStr">
        <is>
          <t>Model tradeoffs: does the training label change who a screening model misses or over-flags?</t>
        </is>
      </c>
    </row>
    <row r="3">
      <c r="A3" s="3" t="inlineStr">
        <is>
          <t>Both labels are scored against the HbA1c criterion. False-positive rate is one minus specificity and is a formula. Not clinical risk models.</t>
        </is>
      </c>
    </row>
    <row r="5">
      <c r="A5" s="5" t="inlineStr">
        <is>
          <t>model</t>
        </is>
      </c>
      <c r="B5" s="5" t="inlineStr">
        <is>
          <t>role</t>
        </is>
      </c>
      <c r="C5" s="5" t="inlineStr">
        <is>
          <t>description</t>
        </is>
      </c>
      <c r="D5" s="5" t="inlineStr">
        <is>
          <t>auc_diagnosed_label</t>
        </is>
      </c>
      <c r="E5" s="5" t="inlineStr">
        <is>
          <t>auc_diagnosed_ci_low</t>
        </is>
      </c>
      <c r="F5" s="5" t="inlineStr">
        <is>
          <t>auc_diagnosed_ci_high</t>
        </is>
      </c>
      <c r="G5" s="5" t="inlineStr">
        <is>
          <t>auc_hba1c_label</t>
        </is>
      </c>
      <c r="H5" s="5" t="inlineStr">
        <is>
          <t>auc_hba1c_ci_low</t>
        </is>
      </c>
      <c r="I5" s="5" t="inlineStr">
        <is>
          <t>auc_hba1c_ci_high</t>
        </is>
      </c>
      <c r="J5" s="5" t="inlineStr">
        <is>
          <t>auc_difference</t>
        </is>
      </c>
      <c r="K5" s="5" t="inlineStr">
        <is>
          <t>auc_diff_ci_low</t>
        </is>
      </c>
      <c r="L5" s="5" t="inlineStr">
        <is>
          <t>auc_diff_ci_high</t>
        </is>
      </c>
      <c r="M5" s="5" t="inlineStr">
        <is>
          <t>p_value_bootstrap</t>
        </is>
      </c>
      <c r="N5" s="5" t="inlineStr">
        <is>
          <t>cost</t>
        </is>
      </c>
      <c r="O5" s="5" t="inlineStr">
        <is>
          <t>cost_ci_low</t>
        </is>
      </c>
      <c r="P5" s="5" t="inlineStr">
        <is>
          <t>cost_ci_high</t>
        </is>
      </c>
      <c r="Q5" s="5" t="inlineStr">
        <is>
          <t>auc_difference_reconciles</t>
        </is>
      </c>
    </row>
    <row r="6">
      <c r="A6" t="inlineStr">
        <is>
          <t>demographic_logistic</t>
        </is>
      </c>
      <c r="B6" t="inlineStr">
        <is>
          <t>primary</t>
        </is>
      </c>
      <c r="C6" t="inlineStr">
        <is>
          <t>Age and sex, race excluded (primary benchmark)</t>
        </is>
      </c>
      <c r="D6" s="18" t="n">
        <v>0.7575015909216523</v>
      </c>
      <c r="E6" s="18" t="n">
        <v>0.7345509973636624</v>
      </c>
      <c r="F6" s="18" t="n">
        <v>0.7848531646580552</v>
      </c>
      <c r="G6" s="18" t="n">
        <v>0.7564329057711975</v>
      </c>
      <c r="H6" s="18" t="n">
        <v>0.7340071446509001</v>
      </c>
      <c r="I6" s="18" t="n">
        <v>0.7840728470596109</v>
      </c>
      <c r="J6" s="19" t="n">
        <v>0.0010686851504547</v>
      </c>
      <c r="K6" s="19" t="n">
        <v>-0.0003965960450978</v>
      </c>
      <c r="L6" s="19" t="n">
        <v>0.0025114161443672</v>
      </c>
      <c r="M6" s="18" t="n">
        <v>0.156</v>
      </c>
      <c r="N6" s="10" t="n">
        <v>0.0071060242839217</v>
      </c>
      <c r="O6" s="10" t="n">
        <v>-0.0030141821690039</v>
      </c>
      <c r="P6" s="10" t="n">
        <v>0.018115901276759</v>
      </c>
      <c r="Q6" t="str">
        <f>IF(ABS((D6-G6)-J6)&lt;=1e-06,"PASS","FAIL")</f>
        <v>PASS</v>
      </c>
    </row>
    <row r="7">
      <c r="A7" t="inlineStr">
        <is>
          <t>demographic_race_logistic</t>
        </is>
      </c>
      <c r="B7" t="inlineStr">
        <is>
          <t>sensitivity</t>
        </is>
      </c>
      <c r="C7" t="inlineStr">
        <is>
          <t>Age, sex and race dummies (sensitivity)</t>
        </is>
      </c>
      <c r="D7" s="18" t="n">
        <v>0.7631450574651655</v>
      </c>
      <c r="E7" s="18" t="n">
        <v>0.7366999302451905</v>
      </c>
      <c r="F7" s="18" t="n">
        <v>0.7966162143609335</v>
      </c>
      <c r="G7" s="18" t="n">
        <v>0.7647580855957488</v>
      </c>
      <c r="H7" s="18" t="n">
        <v>0.7367949698888773</v>
      </c>
      <c r="I7" s="18" t="n">
        <v>0.8043687593416999</v>
      </c>
      <c r="J7" s="19" t="n">
        <v>-0.0016130281305832</v>
      </c>
      <c r="K7" s="19" t="n">
        <v>-0.0100998969416791</v>
      </c>
      <c r="L7" s="19" t="n">
        <v>0.0054156446293045</v>
      </c>
      <c r="M7" s="18" t="n">
        <v>0.6919999999999999</v>
      </c>
      <c r="N7" s="10" t="n">
        <v>0.0135741799424733</v>
      </c>
      <c r="O7" s="10" t="n">
        <v>-0.0057127478081176</v>
      </c>
      <c r="P7" s="10" t="n">
        <v>0.0317599252560894</v>
      </c>
      <c r="Q7" t="str">
        <f>IF(ABS((D7-G7)-J7)&lt;=1e-06,"PASS","FAIL")</f>
        <v>PASS</v>
      </c>
    </row>
    <row r="8">
      <c r="A8" t="inlineStr">
        <is>
          <t>extended_logistic</t>
        </is>
      </c>
      <c r="B8" t="inlineStr">
        <is>
          <t>sensitivity</t>
        </is>
      </c>
      <c r="C8" t="inlineStr">
        <is>
          <t>Adds BMI, family history, insurance and a routine care place; race excluded</t>
        </is>
      </c>
      <c r="D8" s="18" t="n">
        <v>0.8187283882837453</v>
      </c>
      <c r="E8" s="18" t="n">
        <v>0.7985920813720996</v>
      </c>
      <c r="F8" s="18" t="n">
        <v>0.8466511885766137</v>
      </c>
      <c r="G8" s="18" t="n">
        <v>0.8192847147629267</v>
      </c>
      <c r="H8" s="18" t="n">
        <v>0.7985064632752135</v>
      </c>
      <c r="I8" s="18" t="n">
        <v>0.8471773150910636</v>
      </c>
      <c r="J8" s="19" t="n">
        <v>-0.0005563264791814</v>
      </c>
      <c r="K8" s="19" t="n">
        <v>-0.0056288679535892</v>
      </c>
      <c r="L8" s="19" t="n">
        <v>0.0040327983544102</v>
      </c>
      <c r="M8" s="18" t="n">
        <v>0.864</v>
      </c>
      <c r="N8" s="10" t="n">
        <v>0.0155845895105957</v>
      </c>
      <c r="O8" s="10" t="n">
        <v>0.0018659683371612</v>
      </c>
      <c r="P8" s="10" t="n">
        <v>0.0312754335986866</v>
      </c>
      <c r="Q8" t="str">
        <f>IF(ABS((D8-G8)-J8)&lt;=1e-06,"PASS","FAIL")</f>
        <v>PASS</v>
      </c>
    </row>
    <row r="9">
      <c r="A9" t="inlineStr">
        <is>
          <t>extended_boosting</t>
        </is>
      </c>
      <c r="B9" t="inlineStr">
        <is>
          <t>comparison</t>
        </is>
      </c>
      <c r="C9" t="inlineStr">
        <is>
          <t>Gradient boosting on the extended features, to test whether nonlinearity adds value</t>
        </is>
      </c>
      <c r="D9" s="18" t="n">
        <v>0.8110048050322124</v>
      </c>
      <c r="E9" s="18" t="n">
        <v>0.7871019960487307</v>
      </c>
      <c r="F9" s="18" t="n">
        <v>0.8429351207205363</v>
      </c>
      <c r="G9" s="18" t="n">
        <v>0.8086430931363127</v>
      </c>
      <c r="H9" s="18" t="n">
        <v>0.7884113760167238</v>
      </c>
      <c r="I9" s="18" t="n">
        <v>0.8358173225010628</v>
      </c>
      <c r="J9" s="19" t="n">
        <v>0.0023617118958997</v>
      </c>
      <c r="K9" s="19" t="n">
        <v>-0.0077100201053722</v>
      </c>
      <c r="L9" s="19" t="n">
        <v>0.013402057734721</v>
      </c>
      <c r="M9" s="18" t="n">
        <v>0.712</v>
      </c>
      <c r="N9" s="10" t="n">
        <v>-0.0222445615940202</v>
      </c>
      <c r="O9" s="10" t="n">
        <v>-0.0370680813010204</v>
      </c>
      <c r="P9" s="10" t="n">
        <v>-0.0084033658007041</v>
      </c>
      <c r="Q9" t="str">
        <f>IF(ABS((D9-G9)-J9)&lt;=1e-06,"PASS","FAIL")</f>
        <v>PASS</v>
      </c>
    </row>
    <row r="13">
      <c r="A13" s="11" t="inlineStr">
        <is>
          <t>Sensitivity, specificity and false-positive rate by model, group and label</t>
        </is>
      </c>
    </row>
    <row r="14">
      <c r="A14" s="5" t="inlineStr">
        <is>
          <t>model</t>
        </is>
      </c>
      <c r="B14" s="5" t="inlineStr">
        <is>
          <t>group</t>
        </is>
      </c>
      <c r="C14" s="5" t="inlineStr">
        <is>
          <t>label</t>
        </is>
      </c>
      <c r="D14" s="5" t="inlineStr">
        <is>
          <t>respondents</t>
        </is>
      </c>
      <c r="E14" s="5" t="inlineStr">
        <is>
          <t>positives</t>
        </is>
      </c>
      <c r="F14" s="5" t="inlineStr">
        <is>
          <t>negatives</t>
        </is>
      </c>
      <c r="G14" s="5" t="inlineStr">
        <is>
          <t>effective_n_positives</t>
        </is>
      </c>
      <c r="H14" s="5" t="inlineStr">
        <is>
          <t>small_sample_warning</t>
        </is>
      </c>
      <c r="I14" s="5" t="inlineStr">
        <is>
          <t>sensitivity</t>
        </is>
      </c>
      <c r="J14" s="5" t="inlineStr">
        <is>
          <t>sensitivity_ci_low</t>
        </is>
      </c>
      <c r="K14" s="5" t="inlineStr">
        <is>
          <t>sensitivity_ci_high</t>
        </is>
      </c>
      <c r="L14" s="5" t="inlineStr">
        <is>
          <t>specificity</t>
        </is>
      </c>
      <c r="M14" s="5" t="inlineStr">
        <is>
          <t>specificity_ci_low</t>
        </is>
      </c>
      <c r="N14" s="5" t="inlineStr">
        <is>
          <t>specificity_ci_high</t>
        </is>
      </c>
      <c r="O14" s="5" t="inlineStr">
        <is>
          <t>ppv</t>
        </is>
      </c>
      <c r="P14" s="5" t="inlineStr">
        <is>
          <t>npv</t>
        </is>
      </c>
      <c r="Q14" s="5" t="inlineStr">
        <is>
          <t>false_positive_rate</t>
        </is>
      </c>
      <c r="R14" s="5" t="inlineStr">
        <is>
          <t>false_positive_rate_ci_low</t>
        </is>
      </c>
      <c r="S14" s="5" t="inlineStr">
        <is>
          <t>false_positive_rate_ci_high</t>
        </is>
      </c>
    </row>
    <row r="15">
      <c r="A15" t="inlineStr">
        <is>
          <t>demographic_logistic</t>
        </is>
      </c>
      <c r="B15" t="inlineStr">
        <is>
          <t>Non-Hispanic White</t>
        </is>
      </c>
      <c r="C15" t="inlineStr">
        <is>
          <t>diagnosed</t>
        </is>
      </c>
      <c r="D15" s="9" t="n">
        <v>2022</v>
      </c>
      <c r="E15" s="9" t="n">
        <v>203</v>
      </c>
      <c r="F15" s="9" t="n">
        <v>1819</v>
      </c>
      <c r="G15" s="7" t="n">
        <v>104.6003804515824</v>
      </c>
      <c r="H15" t="inlineStr">
        <is>
          <t>OK</t>
        </is>
      </c>
      <c r="I15" s="6" t="n">
        <v>0.8718814138542286</v>
      </c>
      <c r="J15" s="6" t="n">
        <v>0.7966566703720028</v>
      </c>
      <c r="K15" s="6" t="n">
        <v>0.9655795848404408</v>
      </c>
      <c r="L15" s="6" t="n">
        <v>0.531384648920846</v>
      </c>
      <c r="M15" s="6" t="n">
        <v>0.4931320467118786</v>
      </c>
      <c r="N15" s="6" t="n">
        <v>0.5693845569384066</v>
      </c>
      <c r="O15" s="6" t="n">
        <v>0.142853039095287</v>
      </c>
      <c r="P15" s="6" t="n">
        <v>0.9788831872615504</v>
      </c>
      <c r="Q15" s="6">
        <f>1-L15</f>
        <v>0.468615351079154</v>
      </c>
      <c r="R15" s="6">
        <f>1-N15</f>
        <v>0.43061544306159305</v>
      </c>
      <c r="S15" s="6">
        <f>1-M15</f>
        <v>0.5068679532881211</v>
      </c>
    </row>
    <row r="16">
      <c r="A16" t="inlineStr">
        <is>
          <t>demographic_logistic</t>
        </is>
      </c>
      <c r="B16" t="inlineStr">
        <is>
          <t>Non-Hispanic Black</t>
        </is>
      </c>
      <c r="C16" t="inlineStr">
        <is>
          <t>diagnosed</t>
        </is>
      </c>
      <c r="D16" s="9" t="n">
        <v>1312</v>
      </c>
      <c r="E16" s="9" t="n">
        <v>181</v>
      </c>
      <c r="F16" s="9" t="n">
        <v>1131</v>
      </c>
      <c r="G16" s="7" t="n">
        <v>140.9224638484511</v>
      </c>
      <c r="H16" t="inlineStr">
        <is>
          <t>OK</t>
        </is>
      </c>
      <c r="I16" s="6" t="n">
        <v>0.761354234886697</v>
      </c>
      <c r="J16" s="6" t="n">
        <v>0.665706657087299</v>
      </c>
      <c r="K16" s="6" t="n">
        <v>0.8659023722599193</v>
      </c>
      <c r="L16" s="6" t="n">
        <v>0.658921975893583</v>
      </c>
      <c r="M16" s="6" t="n">
        <v>0.638847608728777</v>
      </c>
      <c r="N16" s="6" t="n">
        <v>0.6793568109659971</v>
      </c>
      <c r="O16" s="6" t="n">
        <v>0.224621068483643</v>
      </c>
      <c r="P16" s="6" t="n">
        <v>0.9551662840148188</v>
      </c>
      <c r="Q16" s="6">
        <f>1-L16</f>
        <v>0.34107802410641697</v>
      </c>
      <c r="R16" s="6">
        <f>1-N16</f>
        <v>0.320643189034003</v>
      </c>
      <c r="S16" s="6">
        <f>1-M16</f>
        <v>0.361152391271223</v>
      </c>
    </row>
    <row r="17">
      <c r="A17" t="inlineStr">
        <is>
          <t>demographic_logistic</t>
        </is>
      </c>
      <c r="B17" t="inlineStr">
        <is>
          <t>Mexican American</t>
        </is>
      </c>
      <c r="C17" t="inlineStr">
        <is>
          <t>diagnosed</t>
        </is>
      </c>
      <c r="D17" s="9" t="n">
        <v>856</v>
      </c>
      <c r="E17" s="9" t="n">
        <v>112</v>
      </c>
      <c r="F17" s="9" t="n">
        <v>744</v>
      </c>
      <c r="G17" s="7" t="n">
        <v>70.72659750652981</v>
      </c>
      <c r="H17" t="inlineStr">
        <is>
          <t>OK</t>
        </is>
      </c>
      <c r="I17" s="6" t="n">
        <v>0.6617629611868069</v>
      </c>
      <c r="J17" s="6" t="n">
        <v>0.5316978387006814</v>
      </c>
      <c r="K17" s="6" t="n">
        <v>0.8033725001275774</v>
      </c>
      <c r="L17" s="6" t="n">
        <v>0.7567724000106426</v>
      </c>
      <c r="M17" s="6" t="n">
        <v>0.6918174997279544</v>
      </c>
      <c r="N17" s="6" t="n">
        <v>0.8141432323796191</v>
      </c>
      <c r="O17" s="6" t="n">
        <v>0.2060763348427071</v>
      </c>
      <c r="P17" s="6" t="n">
        <v>0.95912721143853</v>
      </c>
      <c r="Q17" s="6">
        <f>1-L17</f>
        <v>0.24322759998935695</v>
      </c>
      <c r="R17" s="6">
        <f>1-N17</f>
        <v>0.18585676762038095</v>
      </c>
      <c r="S17" s="6">
        <f>1-M17</f>
        <v>0.30818250027204597</v>
      </c>
    </row>
    <row r="18">
      <c r="A18" t="inlineStr">
        <is>
          <t>demographic_logistic</t>
        </is>
      </c>
      <c r="B18" t="inlineStr">
        <is>
          <t>Other Hispanic</t>
        </is>
      </c>
      <c r="C18" t="inlineStr">
        <is>
          <t>diagnosed</t>
        </is>
      </c>
      <c r="D18" s="9" t="n">
        <v>546</v>
      </c>
      <c r="E18" s="9" t="n">
        <v>74</v>
      </c>
      <c r="F18" s="9" t="n">
        <v>472</v>
      </c>
      <c r="G18" s="7" t="n">
        <v>53.36908782768276</v>
      </c>
      <c r="H18" t="inlineStr">
        <is>
          <t>OK</t>
        </is>
      </c>
      <c r="I18" s="6" t="n">
        <v>0.8449487007569758</v>
      </c>
      <c r="J18" s="6" t="n">
        <v>0.7364611007392341</v>
      </c>
      <c r="K18" s="6" t="n">
        <v>1</v>
      </c>
      <c r="L18" s="6" t="n">
        <v>0.6737883119484345</v>
      </c>
      <c r="M18" s="6" t="n">
        <v>0.6339519447454579</v>
      </c>
      <c r="N18" s="6" t="n">
        <v>0.7143061052615564</v>
      </c>
      <c r="O18" s="6" t="n">
        <v>0.1850385001691312</v>
      </c>
      <c r="P18" s="6" t="n">
        <v>0.9802414007881068</v>
      </c>
      <c r="Q18" s="6">
        <f>1-L18</f>
        <v>0.326211688051566</v>
      </c>
      <c r="R18" s="6">
        <f>1-N18</f>
        <v>0.285693894738444</v>
      </c>
      <c r="S18" s="6">
        <f>1-M18</f>
        <v>0.366048055254542</v>
      </c>
    </row>
    <row r="19">
      <c r="A19" t="inlineStr">
        <is>
          <t>demographic_logistic</t>
        </is>
      </c>
      <c r="B19" t="inlineStr">
        <is>
          <t>Non-Hispanic Asian</t>
        </is>
      </c>
      <c r="C19" t="inlineStr">
        <is>
          <t>diagnosed</t>
        </is>
      </c>
      <c r="D19" s="9" t="n">
        <v>796</v>
      </c>
      <c r="E19" s="9" t="n">
        <v>102</v>
      </c>
      <c r="F19" s="9" t="n">
        <v>694</v>
      </c>
      <c r="G19" s="7" t="n">
        <v>88.86867277325152</v>
      </c>
      <c r="H19" t="inlineStr">
        <is>
          <t>OK</t>
        </is>
      </c>
      <c r="I19" s="6" t="n">
        <v>0.8789397835792861</v>
      </c>
      <c r="J19" s="6" t="n">
        <v>0.7968878835035613</v>
      </c>
      <c r="K19" s="6" t="n">
        <v>0.9593686617087024</v>
      </c>
      <c r="L19" s="6" t="n">
        <v>0.6731666410322557</v>
      </c>
      <c r="M19" s="6" t="n">
        <v>0.6190582534929133</v>
      </c>
      <c r="N19" s="6" t="n">
        <v>0.7336792885101298</v>
      </c>
      <c r="O19" s="6" t="n">
        <v>0.2593618748350371</v>
      </c>
      <c r="P19" s="6" t="n">
        <v>0.9771438433121256</v>
      </c>
      <c r="Q19" s="6">
        <f>1-L19</f>
        <v>0.326833358967744</v>
      </c>
      <c r="R19" s="6">
        <f>1-N19</f>
        <v>0.26632071148987</v>
      </c>
      <c r="S19" s="6">
        <f>1-M19</f>
        <v>0.380941746507087</v>
      </c>
    </row>
    <row r="20">
      <c r="A20" t="inlineStr">
        <is>
          <t>demographic_logistic</t>
        </is>
      </c>
      <c r="B20" t="inlineStr">
        <is>
          <t>Other/Multiracial</t>
        </is>
      </c>
      <c r="C20" t="inlineStr">
        <is>
          <t>diagnosed</t>
        </is>
      </c>
      <c r="D20" s="9" t="n">
        <v>341</v>
      </c>
      <c r="E20" s="9" t="n">
        <v>39</v>
      </c>
      <c r="F20" s="9" t="n">
        <v>302</v>
      </c>
      <c r="G20" s="7" t="n">
        <v>16.26993925564318</v>
      </c>
      <c r="H20" t="inlineStr">
        <is>
          <t>SMALL SAMPLE</t>
        </is>
      </c>
      <c r="I20" s="6" t="n">
        <v>0.8777868668326481</v>
      </c>
      <c r="J20" s="6" t="n">
        <v>0.7517358116932619</v>
      </c>
      <c r="K20" s="6" t="n">
        <v>0.9409666806093018</v>
      </c>
      <c r="L20" s="6" t="n">
        <v>0.6559137255950619</v>
      </c>
      <c r="M20" s="6" t="n">
        <v>0.5856508636329881</v>
      </c>
      <c r="N20" s="6" t="n">
        <v>0.7554703703530434</v>
      </c>
      <c r="O20" s="6" t="n">
        <v>0.2118455872744681</v>
      </c>
      <c r="P20" s="6" t="n">
        <v>0.980784996231834</v>
      </c>
      <c r="Q20" s="6">
        <f>1-L20</f>
        <v>0.344086274404938</v>
      </c>
      <c r="R20" s="6">
        <f>1-N20</f>
        <v>0.24452962964695701</v>
      </c>
      <c r="S20" s="6">
        <f>1-M20</f>
        <v>0.414349136367012</v>
      </c>
    </row>
    <row r="21">
      <c r="A21" t="inlineStr">
        <is>
          <t>demographic_logistic</t>
        </is>
      </c>
      <c r="B21" t="inlineStr">
        <is>
          <t>All groups</t>
        </is>
      </c>
      <c r="C21" t="inlineStr">
        <is>
          <t>diagnosed</t>
        </is>
      </c>
      <c r="D21" s="9" t="n">
        <v>5873</v>
      </c>
      <c r="E21" s="9" t="n">
        <v>711</v>
      </c>
      <c r="F21" s="9" t="n">
        <v>5162</v>
      </c>
      <c r="G21" s="7" t="n">
        <v>271.0185017900856</v>
      </c>
      <c r="H21" t="inlineStr">
        <is>
          <t>OK</t>
        </is>
      </c>
      <c r="I21" s="6" t="n">
        <v>0.834779039767245</v>
      </c>
      <c r="J21" s="6" t="n">
        <v>0.7796625377853406</v>
      </c>
      <c r="K21" s="6" t="n">
        <v>0.8923652991683934</v>
      </c>
      <c r="L21" s="6" t="n">
        <v>0.591467130860994</v>
      </c>
      <c r="M21" s="6" t="n">
        <v>0.5688702360221275</v>
      </c>
      <c r="N21" s="6" t="n">
        <v>0.6167237550781952</v>
      </c>
      <c r="O21" s="6" t="n">
        <v>0.1658383384423555</v>
      </c>
      <c r="P21" s="6" t="n">
        <v>0.9735633926131524</v>
      </c>
      <c r="Q21" s="6">
        <f>1-L21</f>
        <v>0.408532869139006</v>
      </c>
      <c r="R21" s="6">
        <f>1-N21</f>
        <v>0.383276244921805</v>
      </c>
      <c r="S21" s="6">
        <f>1-M21</f>
        <v>0.43112976397787295</v>
      </c>
    </row>
    <row r="22">
      <c r="A22" t="inlineStr">
        <is>
          <t>demographic_logistic</t>
        </is>
      </c>
      <c r="B22" t="inlineStr">
        <is>
          <t>Non-Hispanic White</t>
        </is>
      </c>
      <c r="C22" t="inlineStr">
        <is>
          <t>hba1c_pos</t>
        </is>
      </c>
      <c r="D22" s="9" t="n">
        <v>2022</v>
      </c>
      <c r="E22" s="9" t="n">
        <v>203</v>
      </c>
      <c r="F22" s="9" t="n">
        <v>1819</v>
      </c>
      <c r="G22" s="7" t="n">
        <v>104.6003804515824</v>
      </c>
      <c r="H22" t="inlineStr">
        <is>
          <t>OK</t>
        </is>
      </c>
      <c r="I22" s="6" t="n">
        <v>0.8891123692631911</v>
      </c>
      <c r="J22" s="6" t="n">
        <v>0.8227190156880956</v>
      </c>
      <c r="K22" s="6" t="n">
        <v>0.9662267178958288</v>
      </c>
      <c r="L22" s="6" t="n">
        <v>0.5219339957906188</v>
      </c>
      <c r="M22" s="6" t="n">
        <v>0.4865051120569187</v>
      </c>
      <c r="N22" s="6" t="n">
        <v>0.5607361254494285</v>
      </c>
      <c r="O22" s="6" t="n">
        <v>0.1427810465789777</v>
      </c>
      <c r="P22" s="6" t="n">
        <v>0.9813302297181348</v>
      </c>
      <c r="Q22" s="6">
        <f>1-L22</f>
        <v>0.47806600420938095</v>
      </c>
      <c r="R22" s="6">
        <f>1-N22</f>
        <v>0.43926387455057103</v>
      </c>
      <c r="S22" s="6">
        <f>1-M22</f>
        <v>0.513494887943081</v>
      </c>
    </row>
    <row r="23">
      <c r="A23" t="inlineStr">
        <is>
          <t>demographic_logistic</t>
        </is>
      </c>
      <c r="B23" t="inlineStr">
        <is>
          <t>Non-Hispanic Black</t>
        </is>
      </c>
      <c r="C23" t="inlineStr">
        <is>
          <t>hba1c_pos</t>
        </is>
      </c>
      <c r="D23" s="9" t="n">
        <v>1312</v>
      </c>
      <c r="E23" s="9" t="n">
        <v>181</v>
      </c>
      <c r="F23" s="9" t="n">
        <v>1131</v>
      </c>
      <c r="G23" s="7" t="n">
        <v>140.9224638484511</v>
      </c>
      <c r="H23" t="inlineStr">
        <is>
          <t>OK</t>
        </is>
      </c>
      <c r="I23" s="6" t="n">
        <v>0.7819240181638263</v>
      </c>
      <c r="J23" s="6" t="n">
        <v>0.6826126773727317</v>
      </c>
      <c r="K23" s="6" t="n">
        <v>0.88456201894764</v>
      </c>
      <c r="L23" s="6" t="n">
        <v>0.651691838561365</v>
      </c>
      <c r="M23" s="6" t="n">
        <v>0.6312447874230743</v>
      </c>
      <c r="N23" s="6" t="n">
        <v>0.6737017013747989</v>
      </c>
      <c r="O23" s="6" t="n">
        <v>0.2256100920435863</v>
      </c>
      <c r="P23" s="6" t="n">
        <v>0.9583814550336254</v>
      </c>
      <c r="Q23" s="6">
        <f>1-L23</f>
        <v>0.34830816143863497</v>
      </c>
      <c r="R23" s="6">
        <f>1-N23</f>
        <v>0.326298298625201</v>
      </c>
      <c r="S23" s="6">
        <f>1-M23</f>
        <v>0.368755212576926</v>
      </c>
    </row>
    <row r="24">
      <c r="A24" t="inlineStr">
        <is>
          <t>demographic_logistic</t>
        </is>
      </c>
      <c r="B24" t="inlineStr">
        <is>
          <t>Mexican American</t>
        </is>
      </c>
      <c r="C24" t="inlineStr">
        <is>
          <t>hba1c_pos</t>
        </is>
      </c>
      <c r="D24" s="9" t="n">
        <v>856</v>
      </c>
      <c r="E24" s="9" t="n">
        <v>112</v>
      </c>
      <c r="F24" s="9" t="n">
        <v>744</v>
      </c>
      <c r="G24" s="7" t="n">
        <v>70.72659750652981</v>
      </c>
      <c r="H24" t="inlineStr">
        <is>
          <t>OK</t>
        </is>
      </c>
      <c r="I24" s="6" t="n">
        <v>0.6720888218732031</v>
      </c>
      <c r="J24" s="6" t="n">
        <v>0.5480409812437825</v>
      </c>
      <c r="K24" s="6" t="n">
        <v>0.8096655427594819</v>
      </c>
      <c r="L24" s="6" t="n">
        <v>0.7580088873581408</v>
      </c>
      <c r="M24" s="6" t="n">
        <v>0.699673302412091</v>
      </c>
      <c r="N24" s="6" t="n">
        <v>0.8070545326923315</v>
      </c>
      <c r="O24" s="6" t="n">
        <v>0.2094217466722634</v>
      </c>
      <c r="P24" s="6" t="n">
        <v>0.9603770342212032</v>
      </c>
      <c r="Q24" s="6">
        <f>1-L24</f>
        <v>0.24199111264185902</v>
      </c>
      <c r="R24" s="6">
        <f>1-N24</f>
        <v>0.19294546730766804</v>
      </c>
      <c r="S24" s="6">
        <f>1-M24</f>
        <v>0.300326697587909</v>
      </c>
    </row>
    <row r="25">
      <c r="A25" t="inlineStr">
        <is>
          <t>demographic_logistic</t>
        </is>
      </c>
      <c r="B25" t="inlineStr">
        <is>
          <t>Other Hispanic</t>
        </is>
      </c>
      <c r="C25" t="inlineStr">
        <is>
          <t>hba1c_pos</t>
        </is>
      </c>
      <c r="D25" s="9" t="n">
        <v>546</v>
      </c>
      <c r="E25" s="9" t="n">
        <v>74</v>
      </c>
      <c r="F25" s="9" t="n">
        <v>472</v>
      </c>
      <c r="G25" s="7" t="n">
        <v>53.36908782768276</v>
      </c>
      <c r="H25" t="inlineStr">
        <is>
          <t>OK</t>
        </is>
      </c>
      <c r="I25" s="6" t="n">
        <v>0.8647953737659104</v>
      </c>
      <c r="J25" s="6" t="n">
        <v>0.7685919148756937</v>
      </c>
      <c r="K25" s="6" t="n">
        <v>1</v>
      </c>
      <c r="L25" s="6" t="n">
        <v>0.6770495463599076</v>
      </c>
      <c r="M25" s="6" t="n">
        <v>0.6282577857627023</v>
      </c>
      <c r="N25" s="6" t="n">
        <v>0.7175500627762281</v>
      </c>
      <c r="O25" s="6" t="n">
        <v>0.1901647750473954</v>
      </c>
      <c r="P25" s="6" t="n">
        <v>0.9827919068546942</v>
      </c>
      <c r="Q25" s="6">
        <f>1-L25</f>
        <v>0.322950453640092</v>
      </c>
      <c r="R25" s="6">
        <f>1-N25</f>
        <v>0.282449937223772</v>
      </c>
      <c r="S25" s="6">
        <f>1-M25</f>
        <v>0.37174221423729803</v>
      </c>
    </row>
    <row r="26">
      <c r="A26" t="inlineStr">
        <is>
          <t>demographic_logistic</t>
        </is>
      </c>
      <c r="B26" t="inlineStr">
        <is>
          <t>Non-Hispanic Asian</t>
        </is>
      </c>
      <c r="C26" t="inlineStr">
        <is>
          <t>hba1c_pos</t>
        </is>
      </c>
      <c r="D26" s="9" t="n">
        <v>796</v>
      </c>
      <c r="E26" s="9" t="n">
        <v>102</v>
      </c>
      <c r="F26" s="9" t="n">
        <v>694</v>
      </c>
      <c r="G26" s="7" t="n">
        <v>88.86867277325152</v>
      </c>
      <c r="H26" t="inlineStr">
        <is>
          <t>OK</t>
        </is>
      </c>
      <c r="I26" s="6" t="n">
        <v>0.8971375071301775</v>
      </c>
      <c r="J26" s="6" t="n">
        <v>0.8143638280607334</v>
      </c>
      <c r="K26" s="6" t="n">
        <v>0.9874082154042434</v>
      </c>
      <c r="L26" s="6" t="n">
        <v>0.6644311250133661</v>
      </c>
      <c r="M26" s="6" t="n">
        <v>0.6130831848690327</v>
      </c>
      <c r="N26" s="6" t="n">
        <v>0.7150494517295569</v>
      </c>
      <c r="O26" s="6" t="n">
        <v>0.2582338576150216</v>
      </c>
      <c r="P26" s="6" t="n">
        <v>0.9802418083813956</v>
      </c>
      <c r="Q26" s="6">
        <f>1-L26</f>
        <v>0.335568874986634</v>
      </c>
      <c r="R26" s="6">
        <f>1-N26</f>
        <v>0.28495054827044297</v>
      </c>
      <c r="S26" s="6">
        <f>1-M26</f>
        <v>0.386916815130967</v>
      </c>
    </row>
    <row r="27">
      <c r="A27" t="inlineStr">
        <is>
          <t>demographic_logistic</t>
        </is>
      </c>
      <c r="B27" t="inlineStr">
        <is>
          <t>Other/Multiracial</t>
        </is>
      </c>
      <c r="C27" t="inlineStr">
        <is>
          <t>hba1c_pos</t>
        </is>
      </c>
      <c r="D27" s="9" t="n">
        <v>341</v>
      </c>
      <c r="E27" s="9" t="n">
        <v>39</v>
      </c>
      <c r="F27" s="9" t="n">
        <v>302</v>
      </c>
      <c r="G27" s="7" t="n">
        <v>16.26993925564318</v>
      </c>
      <c r="H27" t="inlineStr">
        <is>
          <t>SMALL SAMPLE</t>
        </is>
      </c>
      <c r="I27" s="6" t="n">
        <v>0.8878099041226827</v>
      </c>
      <c r="J27" s="6" t="n">
        <v>0.7632642608903469</v>
      </c>
      <c r="K27" s="6" t="n">
        <v>0.9547362749017571</v>
      </c>
      <c r="L27" s="6" t="n">
        <v>0.6483559560948203</v>
      </c>
      <c r="M27" s="6" t="n">
        <v>0.5731863385242855</v>
      </c>
      <c r="N27" s="6" t="n">
        <v>0.7455458181346228</v>
      </c>
      <c r="O27" s="6" t="n">
        <v>0.2100373314724822</v>
      </c>
      <c r="P27" s="6" t="n">
        <v>0.9821053414107608</v>
      </c>
      <c r="Q27" s="6">
        <f>1-L27</f>
        <v>0.35164404390518</v>
      </c>
      <c r="R27" s="6">
        <f>1-N27</f>
        <v>0.25445418186537705</v>
      </c>
      <c r="S27" s="6">
        <f>1-M27</f>
        <v>0.426813661475715</v>
      </c>
    </row>
    <row r="28">
      <c r="A28" t="inlineStr">
        <is>
          <t>demographic_logistic</t>
        </is>
      </c>
      <c r="B28" t="inlineStr">
        <is>
          <t>All groups</t>
        </is>
      </c>
      <c r="C28" t="inlineStr">
        <is>
          <t>hba1c_pos</t>
        </is>
      </c>
      <c r="D28" s="9" t="n">
        <v>5873</v>
      </c>
      <c r="E28" s="9" t="n">
        <v>711</v>
      </c>
      <c r="F28" s="9" t="n">
        <v>5162</v>
      </c>
      <c r="G28" s="7" t="n">
        <v>271.0185017900856</v>
      </c>
      <c r="H28" t="inlineStr">
        <is>
          <t>OK</t>
        </is>
      </c>
      <c r="I28" s="6" t="n">
        <v>0.8516680818709045</v>
      </c>
      <c r="J28" s="6" t="n">
        <v>0.8017055472646343</v>
      </c>
      <c r="K28" s="6" t="n">
        <v>0.9022472913455964</v>
      </c>
      <c r="L28" s="6" t="n">
        <v>0.5843611065770723</v>
      </c>
      <c r="M28" s="6" t="n">
        <v>0.5611792480594382</v>
      </c>
      <c r="N28" s="6" t="n">
        <v>0.6094586680214682</v>
      </c>
      <c r="O28" s="6" t="n">
        <v>0.1662091304335274</v>
      </c>
      <c r="P28" s="6" t="n">
        <v>0.975901536559026</v>
      </c>
      <c r="Q28" s="6">
        <f>1-L28</f>
        <v>0.41563889342292804</v>
      </c>
      <c r="R28" s="6">
        <f>1-N28</f>
        <v>0.390541331978532</v>
      </c>
      <c r="S28" s="6">
        <f>1-M28</f>
        <v>0.438820751940562</v>
      </c>
    </row>
    <row r="29">
      <c r="A29" t="inlineStr">
        <is>
          <t>demographic_race_logistic</t>
        </is>
      </c>
      <c r="B29" t="inlineStr">
        <is>
          <t>Non-Hispanic White</t>
        </is>
      </c>
      <c r="C29" t="inlineStr">
        <is>
          <t>diagnosed</t>
        </is>
      </c>
      <c r="D29" s="9" t="n">
        <v>2022</v>
      </c>
      <c r="E29" s="9" t="n">
        <v>203</v>
      </c>
      <c r="F29" s="9" t="n">
        <v>1819</v>
      </c>
      <c r="G29" s="7" t="n">
        <v>104.6003804515824</v>
      </c>
      <c r="H29" t="inlineStr">
        <is>
          <t>OK</t>
        </is>
      </c>
      <c r="I29" s="6" t="n">
        <v>0.7823675066887834</v>
      </c>
      <c r="J29" s="6" t="n">
        <v>0.6705328939116675</v>
      </c>
      <c r="K29" s="6" t="n">
        <v>0.9170670965194</v>
      </c>
      <c r="L29" s="6" t="n">
        <v>0.5841067770274971</v>
      </c>
      <c r="M29" s="6" t="n">
        <v>0.5375395707717182</v>
      </c>
      <c r="N29" s="6" t="n">
        <v>0.6279768327676762</v>
      </c>
      <c r="O29" s="6" t="n">
        <v>0.1443094859827326</v>
      </c>
      <c r="P29" s="6" t="n">
        <v>0.9677926320658958</v>
      </c>
      <c r="Q29" s="6">
        <f>1-L29</f>
        <v>0.415893222972503</v>
      </c>
      <c r="R29" s="6">
        <f>1-N29</f>
        <v>0.372023167232324</v>
      </c>
      <c r="S29" s="6">
        <f>1-M29</f>
        <v>0.462460429228282</v>
      </c>
    </row>
    <row r="30">
      <c r="A30" t="inlineStr">
        <is>
          <t>demographic_race_logistic</t>
        </is>
      </c>
      <c r="B30" t="inlineStr">
        <is>
          <t>Non-Hispanic Black</t>
        </is>
      </c>
      <c r="C30" t="inlineStr">
        <is>
          <t>diagnosed</t>
        </is>
      </c>
      <c r="D30" s="9" t="n">
        <v>1312</v>
      </c>
      <c r="E30" s="9" t="n">
        <v>181</v>
      </c>
      <c r="F30" s="9" t="n">
        <v>1131</v>
      </c>
      <c r="G30" s="7" t="n">
        <v>140.9224638484511</v>
      </c>
      <c r="H30" t="inlineStr">
        <is>
          <t>OK</t>
        </is>
      </c>
      <c r="I30" s="6" t="n">
        <v>0.756499308358262</v>
      </c>
      <c r="J30" s="6" t="n">
        <v>0.660756737326669</v>
      </c>
      <c r="K30" s="6" t="n">
        <v>0.8716226702144482</v>
      </c>
      <c r="L30" s="6" t="n">
        <v>0.654112083149104</v>
      </c>
      <c r="M30" s="6" t="n">
        <v>0.6284769554658365</v>
      </c>
      <c r="N30" s="6" t="n">
        <v>0.6771800452122171</v>
      </c>
      <c r="O30" s="6" t="n">
        <v>0.2210575507841122</v>
      </c>
      <c r="P30" s="6" t="n">
        <v>0.9543474255137177</v>
      </c>
      <c r="Q30" s="6">
        <f>1-L30</f>
        <v>0.34588791685089604</v>
      </c>
      <c r="R30" s="6">
        <f>1-N30</f>
        <v>0.322819954787783</v>
      </c>
      <c r="S30" s="6">
        <f>1-M30</f>
        <v>0.37152304453416396</v>
      </c>
    </row>
    <row r="31">
      <c r="A31" t="inlineStr">
        <is>
          <t>demographic_race_logistic</t>
        </is>
      </c>
      <c r="B31" t="inlineStr">
        <is>
          <t>Mexican American</t>
        </is>
      </c>
      <c r="C31" t="inlineStr">
        <is>
          <t>diagnosed</t>
        </is>
      </c>
      <c r="D31" s="9" t="n">
        <v>856</v>
      </c>
      <c r="E31" s="9" t="n">
        <v>112</v>
      </c>
      <c r="F31" s="9" t="n">
        <v>744</v>
      </c>
      <c r="G31" s="7" t="n">
        <v>70.72659750652981</v>
      </c>
      <c r="H31" t="inlineStr">
        <is>
          <t>OK</t>
        </is>
      </c>
      <c r="I31" s="6" t="n">
        <v>0.7389060659246993</v>
      </c>
      <c r="J31" s="6" t="n">
        <v>0.6115139755516714</v>
      </c>
      <c r="K31" s="6" t="n">
        <v>0.8687605098562833</v>
      </c>
      <c r="L31" s="6" t="n">
        <v>0.6926062775583113</v>
      </c>
      <c r="M31" s="6" t="n">
        <v>0.6209734392142937</v>
      </c>
      <c r="N31" s="6" t="n">
        <v>0.7552165097164117</v>
      </c>
      <c r="O31" s="6" t="n">
        <v>0.1867624689700739</v>
      </c>
      <c r="P31" s="6" t="n">
        <v>0.9653083590198668</v>
      </c>
      <c r="Q31" s="6">
        <f>1-L31</f>
        <v>0.30739372244168905</v>
      </c>
      <c r="R31" s="6">
        <f>1-N31</f>
        <v>0.24478349028358803</v>
      </c>
      <c r="S31" s="6">
        <f>1-M31</f>
        <v>0.37902656078570596</v>
      </c>
    </row>
    <row r="32">
      <c r="A32" t="inlineStr">
        <is>
          <t>demographic_race_logistic</t>
        </is>
      </c>
      <c r="B32" t="inlineStr">
        <is>
          <t>Other Hispanic</t>
        </is>
      </c>
      <c r="C32" t="inlineStr">
        <is>
          <t>diagnosed</t>
        </is>
      </c>
      <c r="D32" s="9" t="n">
        <v>546</v>
      </c>
      <c r="E32" s="9" t="n">
        <v>74</v>
      </c>
      <c r="F32" s="9" t="n">
        <v>472</v>
      </c>
      <c r="G32" s="7" t="n">
        <v>53.36908782768276</v>
      </c>
      <c r="H32" t="inlineStr">
        <is>
          <t>OK</t>
        </is>
      </c>
      <c r="I32" s="6" t="n">
        <v>0.7985500759295637</v>
      </c>
      <c r="J32" s="6" t="n">
        <v>0.6631813267911538</v>
      </c>
      <c r="K32" s="6" t="n">
        <v>0.9837590708701108</v>
      </c>
      <c r="L32" s="6" t="n">
        <v>0.7356673507542897</v>
      </c>
      <c r="M32" s="6" t="n">
        <v>0.695341745679762</v>
      </c>
      <c r="N32" s="6" t="n">
        <v>0.7748192823649604</v>
      </c>
      <c r="O32" s="6" t="n">
        <v>0.2106054455680592</v>
      </c>
      <c r="P32" s="6" t="n">
        <v>0.9766557964368594</v>
      </c>
      <c r="Q32" s="6">
        <f>1-L32</f>
        <v>0.26433264924571</v>
      </c>
      <c r="R32" s="6">
        <f>1-N32</f>
        <v>0.22518071763504</v>
      </c>
      <c r="S32" s="6">
        <f>1-M32</f>
        <v>0.30465825432023796</v>
      </c>
    </row>
    <row r="33">
      <c r="A33" t="inlineStr">
        <is>
          <t>demographic_race_logistic</t>
        </is>
      </c>
      <c r="B33" t="inlineStr">
        <is>
          <t>Non-Hispanic Asian</t>
        </is>
      </c>
      <c r="C33" t="inlineStr">
        <is>
          <t>diagnosed</t>
        </is>
      </c>
      <c r="D33" s="9" t="n">
        <v>796</v>
      </c>
      <c r="E33" s="9" t="n">
        <v>102</v>
      </c>
      <c r="F33" s="9" t="n">
        <v>694</v>
      </c>
      <c r="G33" s="7" t="n">
        <v>88.86867277325152</v>
      </c>
      <c r="H33" t="inlineStr">
        <is>
          <t>OK</t>
        </is>
      </c>
      <c r="I33" s="6" t="n">
        <v>0.9046019860740636</v>
      </c>
      <c r="J33" s="6" t="n">
        <v>0.8409828644545314</v>
      </c>
      <c r="K33" s="6" t="n">
        <v>0.984042181891015</v>
      </c>
      <c r="L33" s="6" t="n">
        <v>0.6391893099389563</v>
      </c>
      <c r="M33" s="6" t="n">
        <v>0.5832446678634156</v>
      </c>
      <c r="N33" s="6" t="n">
        <v>0.6953744750345614</v>
      </c>
      <c r="O33" s="6" t="n">
        <v>0.2465843374045806</v>
      </c>
      <c r="P33" s="6" t="n">
        <v>0.9812044295332748</v>
      </c>
      <c r="Q33" s="6">
        <f>1-L33</f>
        <v>0.36081069006104405</v>
      </c>
      <c r="R33" s="6">
        <f>1-N33</f>
        <v>0.30462552496543904</v>
      </c>
      <c r="S33" s="6">
        <f>1-M33</f>
        <v>0.416755332136584</v>
      </c>
    </row>
    <row r="34">
      <c r="A34" t="inlineStr">
        <is>
          <t>demographic_race_logistic</t>
        </is>
      </c>
      <c r="B34" t="inlineStr">
        <is>
          <t>Other/Multiracial</t>
        </is>
      </c>
      <c r="C34" t="inlineStr">
        <is>
          <t>diagnosed</t>
        </is>
      </c>
      <c r="D34" s="9" t="n">
        <v>341</v>
      </c>
      <c r="E34" s="9" t="n">
        <v>39</v>
      </c>
      <c r="F34" s="9" t="n">
        <v>302</v>
      </c>
      <c r="G34" s="7" t="n">
        <v>16.26993925564318</v>
      </c>
      <c r="H34" t="inlineStr">
        <is>
          <t>SMALL SAMPLE</t>
        </is>
      </c>
      <c r="I34" s="6" t="n">
        <v>0.9056860228654652</v>
      </c>
      <c r="J34" s="6" t="n">
        <v>0.7722443415027135</v>
      </c>
      <c r="K34" s="6" t="n">
        <v>0.9644140662266096</v>
      </c>
      <c r="L34" s="6" t="n">
        <v>0.5648042997375976</v>
      </c>
      <c r="M34" s="6" t="n">
        <v>0.5003312568699105</v>
      </c>
      <c r="N34" s="6" t="n">
        <v>0.6524435864902112</v>
      </c>
      <c r="O34" s="6" t="n">
        <v>0.1798601125107065</v>
      </c>
      <c r="P34" s="6" t="n">
        <v>0.982778090766356</v>
      </c>
      <c r="Q34" s="6">
        <f>1-L34</f>
        <v>0.43519570026240195</v>
      </c>
      <c r="R34" s="6">
        <f>1-N34</f>
        <v>0.34755641350978905</v>
      </c>
      <c r="S34" s="6">
        <f>1-M34</f>
        <v>0.499668743130089</v>
      </c>
    </row>
    <row r="35">
      <c r="A35" t="inlineStr">
        <is>
          <t>demographic_race_logistic</t>
        </is>
      </c>
      <c r="B35" t="inlineStr">
        <is>
          <t>All groups</t>
        </is>
      </c>
      <c r="C35" t="inlineStr">
        <is>
          <t>diagnosed</t>
        </is>
      </c>
      <c r="D35" s="9" t="n">
        <v>5873</v>
      </c>
      <c r="E35" s="9" t="n">
        <v>711</v>
      </c>
      <c r="F35" s="9" t="n">
        <v>5162</v>
      </c>
      <c r="G35" s="7" t="n">
        <v>271.0185017900856</v>
      </c>
      <c r="H35" t="inlineStr">
        <is>
          <t>OK</t>
        </is>
      </c>
      <c r="I35" s="6" t="n">
        <v>0.7909773368434897</v>
      </c>
      <c r="J35" s="6" t="n">
        <v>0.7196852097433444</v>
      </c>
      <c r="K35" s="6" t="n">
        <v>0.8696431071269303</v>
      </c>
      <c r="L35" s="6" t="n">
        <v>0.6152725091564626</v>
      </c>
      <c r="M35" s="6" t="n">
        <v>0.5861789144494243</v>
      </c>
      <c r="N35" s="6" t="n">
        <v>0.6443141725264034</v>
      </c>
      <c r="O35" s="6" t="n">
        <v>0.1668154111567286</v>
      </c>
      <c r="P35" s="6" t="n">
        <v>0.9681239542396805</v>
      </c>
      <c r="Q35" s="6">
        <f>1-L35</f>
        <v>0.38472749084353697</v>
      </c>
      <c r="R35" s="6">
        <f>1-N35</f>
        <v>0.355685827473597</v>
      </c>
      <c r="S35" s="6">
        <f>1-M35</f>
        <v>0.41382108555057595</v>
      </c>
    </row>
    <row r="36">
      <c r="A36" t="inlineStr">
        <is>
          <t>demographic_race_logistic</t>
        </is>
      </c>
      <c r="B36" t="inlineStr">
        <is>
          <t>Non-Hispanic White</t>
        </is>
      </c>
      <c r="C36" t="inlineStr">
        <is>
          <t>hba1c_pos</t>
        </is>
      </c>
      <c r="D36" s="9" t="n">
        <v>2022</v>
      </c>
      <c r="E36" s="9" t="n">
        <v>203</v>
      </c>
      <c r="F36" s="9" t="n">
        <v>1819</v>
      </c>
      <c r="G36" s="7" t="n">
        <v>104.6003804515824</v>
      </c>
      <c r="H36" t="inlineStr">
        <is>
          <t>OK</t>
        </is>
      </c>
      <c r="I36" s="6" t="n">
        <v>0.7392582098365221</v>
      </c>
      <c r="J36" s="6" t="n">
        <v>0.6442483005899918</v>
      </c>
      <c r="K36" s="6" t="n">
        <v>0.8666769905466374</v>
      </c>
      <c r="L36" s="6" t="n">
        <v>0.6034144315000642</v>
      </c>
      <c r="M36" s="6" t="n">
        <v>0.5636947305298221</v>
      </c>
      <c r="N36" s="6" t="n">
        <v>0.6427672737078505</v>
      </c>
      <c r="O36" s="6" t="n">
        <v>0.143101794648744</v>
      </c>
      <c r="P36" s="6" t="n">
        <v>0.9628053190686759</v>
      </c>
      <c r="Q36" s="6">
        <f>1-L36</f>
        <v>0.396585568499936</v>
      </c>
      <c r="R36" s="6">
        <f>1-N36</f>
        <v>0.35723272629214997</v>
      </c>
      <c r="S36" s="6">
        <f>1-M36</f>
        <v>0.436305269470178</v>
      </c>
    </row>
    <row r="37">
      <c r="A37" t="inlineStr">
        <is>
          <t>demographic_race_logistic</t>
        </is>
      </c>
      <c r="B37" t="inlineStr">
        <is>
          <t>Non-Hispanic Black</t>
        </is>
      </c>
      <c r="C37" t="inlineStr">
        <is>
          <t>hba1c_pos</t>
        </is>
      </c>
      <c r="D37" s="9" t="n">
        <v>1312</v>
      </c>
      <c r="E37" s="9" t="n">
        <v>181</v>
      </c>
      <c r="F37" s="9" t="n">
        <v>1131</v>
      </c>
      <c r="G37" s="7" t="n">
        <v>140.9224638484511</v>
      </c>
      <c r="H37" t="inlineStr">
        <is>
          <t>OK</t>
        </is>
      </c>
      <c r="I37" s="6" t="n">
        <v>0.870959799377889</v>
      </c>
      <c r="J37" s="6" t="n">
        <v>0.7847391966235996</v>
      </c>
      <c r="K37" s="6" t="n">
        <v>0.9531135658761404</v>
      </c>
      <c r="L37" s="6" t="n">
        <v>0.5543584662469069</v>
      </c>
      <c r="M37" s="6" t="n">
        <v>0.5335682914433216</v>
      </c>
      <c r="N37" s="6" t="n">
        <v>0.5752709515416777</v>
      </c>
      <c r="O37" s="6" t="n">
        <v>0.2024332762738456</v>
      </c>
      <c r="P37" s="6" t="n">
        <v>0.970788632407657</v>
      </c>
      <c r="Q37" s="6">
        <f>1-L37</f>
        <v>0.445641533753093</v>
      </c>
      <c r="R37" s="6">
        <f>1-N37</f>
        <v>0.42472904845832204</v>
      </c>
      <c r="S37" s="6">
        <f>1-M37</f>
        <v>0.46643170855667804</v>
      </c>
    </row>
    <row r="38">
      <c r="A38" t="inlineStr">
        <is>
          <t>demographic_race_logistic</t>
        </is>
      </c>
      <c r="B38" t="inlineStr">
        <is>
          <t>Mexican American</t>
        </is>
      </c>
      <c r="C38" t="inlineStr">
        <is>
          <t>hba1c_pos</t>
        </is>
      </c>
      <c r="D38" s="9" t="n">
        <v>856</v>
      </c>
      <c r="E38" s="9" t="n">
        <v>112</v>
      </c>
      <c r="F38" s="9" t="n">
        <v>744</v>
      </c>
      <c r="G38" s="7" t="n">
        <v>70.72659750652981</v>
      </c>
      <c r="H38" t="inlineStr">
        <is>
          <t>OK</t>
        </is>
      </c>
      <c r="I38" s="6" t="n">
        <v>0.7763461460889671</v>
      </c>
      <c r="J38" s="6" t="n">
        <v>0.632741726500167</v>
      </c>
      <c r="K38" s="6" t="n">
        <v>0.9033207678089747</v>
      </c>
      <c r="L38" s="6" t="n">
        <v>0.6400809668172245</v>
      </c>
      <c r="M38" s="6" t="n">
        <v>0.5617180350567608</v>
      </c>
      <c r="N38" s="6" t="n">
        <v>0.7063292514594346</v>
      </c>
      <c r="O38" s="6" t="n">
        <v>0.1707162123597429</v>
      </c>
      <c r="P38" s="6" t="n">
        <v>0.9677844964545368</v>
      </c>
      <c r="Q38" s="6">
        <f>1-L38</f>
        <v>0.35991903318277596</v>
      </c>
      <c r="R38" s="6">
        <f>1-N38</f>
        <v>0.29367074854056496</v>
      </c>
      <c r="S38" s="6">
        <f>1-M38</f>
        <v>0.438281964943239</v>
      </c>
    </row>
    <row r="39">
      <c r="A39" t="inlineStr">
        <is>
          <t>demographic_race_logistic</t>
        </is>
      </c>
      <c r="B39" t="inlineStr">
        <is>
          <t>Other Hispanic</t>
        </is>
      </c>
      <c r="C39" t="inlineStr">
        <is>
          <t>hba1c_pos</t>
        </is>
      </c>
      <c r="D39" s="9" t="n">
        <v>546</v>
      </c>
      <c r="E39" s="9" t="n">
        <v>74</v>
      </c>
      <c r="F39" s="9" t="n">
        <v>472</v>
      </c>
      <c r="G39" s="7" t="n">
        <v>53.36908782768276</v>
      </c>
      <c r="H39" t="inlineStr">
        <is>
          <t>OK</t>
        </is>
      </c>
      <c r="I39" s="6" t="n">
        <v>0.8673301381708045</v>
      </c>
      <c r="J39" s="6" t="n">
        <v>0.7632162132589082</v>
      </c>
      <c r="K39" s="6" t="n">
        <v>1</v>
      </c>
      <c r="L39" s="6" t="n">
        <v>0.6482996834730811</v>
      </c>
      <c r="M39" s="6" t="n">
        <v>0.6006047316628517</v>
      </c>
      <c r="N39" s="6" t="n">
        <v>0.6992928498783253</v>
      </c>
      <c r="O39" s="6" t="n">
        <v>0.1778776812608052</v>
      </c>
      <c r="P39" s="6" t="n">
        <v>0.9823496942757004</v>
      </c>
      <c r="Q39" s="6">
        <f>1-L39</f>
        <v>0.351700316526919</v>
      </c>
      <c r="R39" s="6">
        <f>1-N39</f>
        <v>0.30070715012167504</v>
      </c>
      <c r="S39" s="6">
        <f>1-M39</f>
        <v>0.399395268337148</v>
      </c>
    </row>
    <row r="40">
      <c r="A40" t="inlineStr">
        <is>
          <t>demographic_race_logistic</t>
        </is>
      </c>
      <c r="B40" t="inlineStr">
        <is>
          <t>Non-Hispanic Asian</t>
        </is>
      </c>
      <c r="C40" t="inlineStr">
        <is>
          <t>hba1c_pos</t>
        </is>
      </c>
      <c r="D40" s="9" t="n">
        <v>796</v>
      </c>
      <c r="E40" s="9" t="n">
        <v>102</v>
      </c>
      <c r="F40" s="9" t="n">
        <v>694</v>
      </c>
      <c r="G40" s="7" t="n">
        <v>88.86867277325152</v>
      </c>
      <c r="H40" t="inlineStr">
        <is>
          <t>OK</t>
        </is>
      </c>
      <c r="I40" s="6" t="n">
        <v>0.9586109929080876</v>
      </c>
      <c r="J40" s="6" t="n">
        <v>0.9161266659807644</v>
      </c>
      <c r="K40" s="6" t="n">
        <v>1</v>
      </c>
      <c r="L40" s="6" t="n">
        <v>0.5485424691134312</v>
      </c>
      <c r="M40" s="6" t="n">
        <v>0.4931739070790301</v>
      </c>
      <c r="N40" s="6" t="n">
        <v>0.5994731594428092</v>
      </c>
      <c r="O40" s="6" t="n">
        <v>0.216773908022564</v>
      </c>
      <c r="P40" s="6" t="n">
        <v>0.9902931652867744</v>
      </c>
      <c r="Q40" s="6">
        <f>1-L40</f>
        <v>0.45145753088656904</v>
      </c>
      <c r="R40" s="6">
        <f>1-N40</f>
        <v>0.400526840557191</v>
      </c>
      <c r="S40" s="6">
        <f>1-M40</f>
        <v>0.50682609292097</v>
      </c>
    </row>
    <row r="41">
      <c r="A41" t="inlineStr">
        <is>
          <t>demographic_race_logistic</t>
        </is>
      </c>
      <c r="B41" t="inlineStr">
        <is>
          <t>Other/Multiracial</t>
        </is>
      </c>
      <c r="C41" t="inlineStr">
        <is>
          <t>hba1c_pos</t>
        </is>
      </c>
      <c r="D41" s="9" t="n">
        <v>341</v>
      </c>
      <c r="E41" s="9" t="n">
        <v>39</v>
      </c>
      <c r="F41" s="9" t="n">
        <v>302</v>
      </c>
      <c r="G41" s="7" t="n">
        <v>16.26993925564318</v>
      </c>
      <c r="H41" t="inlineStr">
        <is>
          <t>SMALL SAMPLE</t>
        </is>
      </c>
      <c r="I41" s="6" t="n">
        <v>0.8782275897805573</v>
      </c>
      <c r="J41" s="6" t="n">
        <v>0.7589127406155485</v>
      </c>
      <c r="K41" s="6" t="n">
        <v>0.9331320276791816</v>
      </c>
      <c r="L41" s="6" t="n">
        <v>0.5960956981548436</v>
      </c>
      <c r="M41" s="6" t="n">
        <v>0.5216265383821341</v>
      </c>
      <c r="N41" s="6" t="n">
        <v>0.6967134206144642</v>
      </c>
      <c r="O41" s="6" t="n">
        <v>0.1864833928883046</v>
      </c>
      <c r="P41" s="6" t="n">
        <v>0.9790104662503776</v>
      </c>
      <c r="Q41" s="6">
        <f>1-L41</f>
        <v>0.403904301845156</v>
      </c>
      <c r="R41" s="6">
        <f>1-N41</f>
        <v>0.30328657938553605</v>
      </c>
      <c r="S41" s="6">
        <f>1-M41</f>
        <v>0.478373461617866</v>
      </c>
    </row>
    <row r="42">
      <c r="A42" t="inlineStr">
        <is>
          <t>demographic_race_logistic</t>
        </is>
      </c>
      <c r="B42" t="inlineStr">
        <is>
          <t>All groups</t>
        </is>
      </c>
      <c r="C42" t="inlineStr">
        <is>
          <t>hba1c_pos</t>
        </is>
      </c>
      <c r="D42" s="9" t="n">
        <v>5873</v>
      </c>
      <c r="E42" s="9" t="n">
        <v>711</v>
      </c>
      <c r="F42" s="9" t="n">
        <v>5162</v>
      </c>
      <c r="G42" s="7" t="n">
        <v>271.0185017900856</v>
      </c>
      <c r="H42" t="inlineStr">
        <is>
          <t>OK</t>
        </is>
      </c>
      <c r="I42" s="6" t="n">
        <v>0.7933276818889362</v>
      </c>
      <c r="J42" s="6" t="n">
        <v>0.7309492022548818</v>
      </c>
      <c r="K42" s="6" t="n">
        <v>0.8693442331213468</v>
      </c>
      <c r="L42" s="6" t="n">
        <v>0.6016983292139892</v>
      </c>
      <c r="M42" s="6" t="n">
        <v>0.5767901690677175</v>
      </c>
      <c r="N42" s="6" t="n">
        <v>0.6286397417441181</v>
      </c>
      <c r="O42" s="6" t="n">
        <v>0.1623741038038762</v>
      </c>
      <c r="P42" s="6" t="n">
        <v>0.9677057946627828</v>
      </c>
      <c r="Q42" s="6">
        <f>1-L42</f>
        <v>0.398301670786011</v>
      </c>
      <c r="R42" s="6">
        <f>1-N42</f>
        <v>0.37136025825588204</v>
      </c>
      <c r="S42" s="6">
        <f>1-M42</f>
        <v>0.42320983093228204</v>
      </c>
    </row>
    <row r="43">
      <c r="A43" t="inlineStr">
        <is>
          <t>extended_logistic</t>
        </is>
      </c>
      <c r="B43" t="inlineStr">
        <is>
          <t>Non-Hispanic White</t>
        </is>
      </c>
      <c r="C43" t="inlineStr">
        <is>
          <t>diagnosed</t>
        </is>
      </c>
      <c r="D43" s="9" t="n">
        <v>2022</v>
      </c>
      <c r="E43" s="9" t="n">
        <v>203</v>
      </c>
      <c r="F43" s="9" t="n">
        <v>1819</v>
      </c>
      <c r="G43" s="7" t="n">
        <v>104.6003804515824</v>
      </c>
      <c r="H43" t="inlineStr">
        <is>
          <t>OK</t>
        </is>
      </c>
      <c r="I43" s="6" t="n">
        <v>0.8612584271893375</v>
      </c>
      <c r="J43" s="6" t="n">
        <v>0.7907149786211701</v>
      </c>
      <c r="K43" s="6" t="n">
        <v>0.9582874912039634</v>
      </c>
      <c r="L43" s="6" t="n">
        <v>0.6247874508072426</v>
      </c>
      <c r="M43" s="6" t="n">
        <v>0.5954568448650559</v>
      </c>
      <c r="N43" s="6" t="n">
        <v>0.6548698628440306</v>
      </c>
      <c r="O43" s="6" t="n">
        <v>0.1705542949107164</v>
      </c>
      <c r="P43" s="6" t="n">
        <v>0.9804988628671588</v>
      </c>
      <c r="Q43" s="6">
        <f>1-L43</f>
        <v>0.37521254919275704</v>
      </c>
      <c r="R43" s="6">
        <f>1-N43</f>
        <v>0.34513013715596896</v>
      </c>
      <c r="S43" s="6">
        <f>1-M43</f>
        <v>0.404543155134944</v>
      </c>
    </row>
    <row r="44">
      <c r="A44" t="inlineStr">
        <is>
          <t>extended_logistic</t>
        </is>
      </c>
      <c r="B44" t="inlineStr">
        <is>
          <t>Non-Hispanic Black</t>
        </is>
      </c>
      <c r="C44" t="inlineStr">
        <is>
          <t>diagnosed</t>
        </is>
      </c>
      <c r="D44" s="9" t="n">
        <v>1312</v>
      </c>
      <c r="E44" s="9" t="n">
        <v>181</v>
      </c>
      <c r="F44" s="9" t="n">
        <v>1131</v>
      </c>
      <c r="G44" s="7" t="n">
        <v>140.9224638484511</v>
      </c>
      <c r="H44" t="inlineStr">
        <is>
          <t>OK</t>
        </is>
      </c>
      <c r="I44" s="6" t="n">
        <v>0.8306555031174042</v>
      </c>
      <c r="J44" s="6" t="n">
        <v>0.7310441358803211</v>
      </c>
      <c r="K44" s="6" t="n">
        <v>0.909348569465097</v>
      </c>
      <c r="L44" s="6" t="n">
        <v>0.7015560015403191</v>
      </c>
      <c r="M44" s="6" t="n">
        <v>0.6665015097579253</v>
      </c>
      <c r="N44" s="6" t="n">
        <v>0.7367531195879813</v>
      </c>
      <c r="O44" s="6" t="n">
        <v>0.2653554155432712</v>
      </c>
      <c r="P44" s="6" t="n">
        <v>0.969629695939517</v>
      </c>
      <c r="Q44" s="6">
        <f>1-L44</f>
        <v>0.29844399845968095</v>
      </c>
      <c r="R44" s="6">
        <f>1-N44</f>
        <v>0.26324688041201905</v>
      </c>
      <c r="S44" s="6">
        <f>1-M44</f>
        <v>0.333498490242075</v>
      </c>
    </row>
    <row r="45">
      <c r="A45" t="inlineStr">
        <is>
          <t>extended_logistic</t>
        </is>
      </c>
      <c r="B45" t="inlineStr">
        <is>
          <t>Mexican American</t>
        </is>
      </c>
      <c r="C45" t="inlineStr">
        <is>
          <t>diagnosed</t>
        </is>
      </c>
      <c r="D45" s="9" t="n">
        <v>856</v>
      </c>
      <c r="E45" s="9" t="n">
        <v>112</v>
      </c>
      <c r="F45" s="9" t="n">
        <v>744</v>
      </c>
      <c r="G45" s="7" t="n">
        <v>70.72659750652981</v>
      </c>
      <c r="H45" t="inlineStr">
        <is>
          <t>OK</t>
        </is>
      </c>
      <c r="I45" s="6" t="n">
        <v>0.6885811619697328</v>
      </c>
      <c r="J45" s="6" t="n">
        <v>0.5759025368422513</v>
      </c>
      <c r="K45" s="6" t="n">
        <v>0.8054452727206898</v>
      </c>
      <c r="L45" s="6" t="n">
        <v>0.7733568791027648</v>
      </c>
      <c r="M45" s="6" t="n">
        <v>0.7142930762283177</v>
      </c>
      <c r="N45" s="6" t="n">
        <v>0.8184514389107289</v>
      </c>
      <c r="O45" s="6" t="n">
        <v>0.2246385529383394</v>
      </c>
      <c r="P45" s="6" t="n">
        <v>0.9630232674074336</v>
      </c>
      <c r="Q45" s="6">
        <f>1-L45</f>
        <v>0.22664312089723504</v>
      </c>
      <c r="R45" s="6">
        <f>1-N45</f>
        <v>0.18154856108927098</v>
      </c>
      <c r="S45" s="6">
        <f>1-M45</f>
        <v>0.28570692377168205</v>
      </c>
    </row>
    <row r="46">
      <c r="A46" t="inlineStr">
        <is>
          <t>extended_logistic</t>
        </is>
      </c>
      <c r="B46" t="inlineStr">
        <is>
          <t>Other Hispanic</t>
        </is>
      </c>
      <c r="C46" t="inlineStr">
        <is>
          <t>diagnosed</t>
        </is>
      </c>
      <c r="D46" s="9" t="n">
        <v>546</v>
      </c>
      <c r="E46" s="9" t="n">
        <v>74</v>
      </c>
      <c r="F46" s="9" t="n">
        <v>472</v>
      </c>
      <c r="G46" s="7" t="n">
        <v>53.36908782768276</v>
      </c>
      <c r="H46" t="inlineStr">
        <is>
          <t>OK</t>
        </is>
      </c>
      <c r="I46" s="6" t="n">
        <v>0.764672966330598</v>
      </c>
      <c r="J46" s="6" t="n">
        <v>0.605796836818792</v>
      </c>
      <c r="K46" s="6" t="n">
        <v>0.8987422595800293</v>
      </c>
      <c r="L46" s="6" t="n">
        <v>0.7731902781019484</v>
      </c>
      <c r="M46" s="6" t="n">
        <v>0.7177460918002776</v>
      </c>
      <c r="N46" s="6" t="n">
        <v>0.8198145198342416</v>
      </c>
      <c r="O46" s="6" t="n">
        <v>0.2284324784621172</v>
      </c>
      <c r="P46" s="6" t="n">
        <v>0.9740075134606664</v>
      </c>
      <c r="Q46" s="6">
        <f>1-L46</f>
        <v>0.22680972189805204</v>
      </c>
      <c r="R46" s="6">
        <f>1-N46</f>
        <v>0.18018548016575797</v>
      </c>
      <c r="S46" s="6">
        <f>1-M46</f>
        <v>0.28225390819972196</v>
      </c>
    </row>
    <row r="47">
      <c r="A47" t="inlineStr">
        <is>
          <t>extended_logistic</t>
        </is>
      </c>
      <c r="B47" t="inlineStr">
        <is>
          <t>Non-Hispanic Asian</t>
        </is>
      </c>
      <c r="C47" t="inlineStr">
        <is>
          <t>diagnosed</t>
        </is>
      </c>
      <c r="D47" s="9" t="n">
        <v>796</v>
      </c>
      <c r="E47" s="9" t="n">
        <v>102</v>
      </c>
      <c r="F47" s="9" t="n">
        <v>694</v>
      </c>
      <c r="G47" s="7" t="n">
        <v>88.86867277325152</v>
      </c>
      <c r="H47" t="inlineStr">
        <is>
          <t>OK</t>
        </is>
      </c>
      <c r="I47" s="6" t="n">
        <v>0.698094169071737</v>
      </c>
      <c r="J47" s="6" t="n">
        <v>0.6231200305554985</v>
      </c>
      <c r="K47" s="6" t="n">
        <v>0.7916318088991982</v>
      </c>
      <c r="L47" s="6" t="n">
        <v>0.8136970254526583</v>
      </c>
      <c r="M47" s="6" t="n">
        <v>0.7781004880886008</v>
      </c>
      <c r="N47" s="6" t="n">
        <v>0.8476367263263823</v>
      </c>
      <c r="O47" s="6" t="n">
        <v>0.3279391245694353</v>
      </c>
      <c r="P47" s="6" t="n">
        <v>0.953917848623661</v>
      </c>
      <c r="Q47" s="6">
        <f>1-L47</f>
        <v>0.18630297454734202</v>
      </c>
      <c r="R47" s="6">
        <f>1-N47</f>
        <v>0.15236327367361802</v>
      </c>
      <c r="S47" s="6">
        <f>1-M47</f>
        <v>0.221899511911399</v>
      </c>
    </row>
    <row r="48">
      <c r="A48" t="inlineStr">
        <is>
          <t>extended_logistic</t>
        </is>
      </c>
      <c r="B48" t="inlineStr">
        <is>
          <t>Other/Multiracial</t>
        </is>
      </c>
      <c r="C48" t="inlineStr">
        <is>
          <t>diagnosed</t>
        </is>
      </c>
      <c r="D48" s="9" t="n">
        <v>341</v>
      </c>
      <c r="E48" s="9" t="n">
        <v>39</v>
      </c>
      <c r="F48" s="9" t="n">
        <v>302</v>
      </c>
      <c r="G48" s="7" t="n">
        <v>16.26993925564318</v>
      </c>
      <c r="H48" t="inlineStr">
        <is>
          <t>SMALL SAMPLE</t>
        </is>
      </c>
      <c r="I48" s="6" t="n">
        <v>0.9192958070739234</v>
      </c>
      <c r="J48" s="6" t="n">
        <v>0.8169808734008649</v>
      </c>
      <c r="K48" s="6" t="n">
        <v>0.9899675035128264</v>
      </c>
      <c r="L48" s="6" t="n">
        <v>0.6923145441959054</v>
      </c>
      <c r="M48" s="6" t="n">
        <v>0.614274006403097</v>
      </c>
      <c r="N48" s="6" t="n">
        <v>0.8028212457657111</v>
      </c>
      <c r="O48" s="6" t="n">
        <v>0.2393507309873688</v>
      </c>
      <c r="P48" s="6" t="n">
        <v>0.9878735406109896</v>
      </c>
      <c r="Q48" s="6">
        <f>1-L48</f>
        <v>0.307685455804095</v>
      </c>
      <c r="R48" s="6">
        <f>1-N48</f>
        <v>0.197178754234289</v>
      </c>
      <c r="S48" s="6">
        <f>1-M48</f>
        <v>0.38572599359690296</v>
      </c>
    </row>
    <row r="49">
      <c r="A49" t="inlineStr">
        <is>
          <t>extended_logistic</t>
        </is>
      </c>
      <c r="B49" t="inlineStr">
        <is>
          <t>All groups</t>
        </is>
      </c>
      <c r="C49" t="inlineStr">
        <is>
          <t>diagnosed</t>
        </is>
      </c>
      <c r="D49" s="9" t="n">
        <v>5873</v>
      </c>
      <c r="E49" s="9" t="n">
        <v>711</v>
      </c>
      <c r="F49" s="9" t="n">
        <v>5162</v>
      </c>
      <c r="G49" s="7" t="n">
        <v>271.0185017900856</v>
      </c>
      <c r="H49" t="inlineStr">
        <is>
          <t>OK</t>
        </is>
      </c>
      <c r="I49" s="6" t="n">
        <v>0.8252473522416739</v>
      </c>
      <c r="J49" s="6" t="n">
        <v>0.7827047030009874</v>
      </c>
      <c r="K49" s="6" t="n">
        <v>0.8788537423629237</v>
      </c>
      <c r="L49" s="6" t="n">
        <v>0.6719519409232029</v>
      </c>
      <c r="M49" s="6" t="n">
        <v>0.6524082952698578</v>
      </c>
      <c r="N49" s="6" t="n">
        <v>0.6942581947343469</v>
      </c>
      <c r="O49" s="6" t="n">
        <v>0.1966388081335508</v>
      </c>
      <c r="P49" s="6" t="n">
        <v>0.9753251767537738</v>
      </c>
      <c r="Q49" s="6">
        <f>1-L49</f>
        <v>0.328048059076797</v>
      </c>
      <c r="R49" s="6">
        <f>1-N49</f>
        <v>0.305741805265653</v>
      </c>
      <c r="S49" s="6">
        <f>1-M49</f>
        <v>0.347591704730142</v>
      </c>
    </row>
    <row r="50">
      <c r="A50" t="inlineStr">
        <is>
          <t>extended_logistic</t>
        </is>
      </c>
      <c r="B50" t="inlineStr">
        <is>
          <t>Non-Hispanic White</t>
        </is>
      </c>
      <c r="C50" t="inlineStr">
        <is>
          <t>hba1c_pos</t>
        </is>
      </c>
      <c r="D50" s="9" t="n">
        <v>2022</v>
      </c>
      <c r="E50" s="9" t="n">
        <v>203</v>
      </c>
      <c r="F50" s="9" t="n">
        <v>1819</v>
      </c>
      <c r="G50" s="7" t="n">
        <v>104.6003804515824</v>
      </c>
      <c r="H50" t="inlineStr">
        <is>
          <t>OK</t>
        </is>
      </c>
      <c r="I50" s="6" t="n">
        <v>0.8631540776034614</v>
      </c>
      <c r="J50" s="6" t="n">
        <v>0.7994658328904926</v>
      </c>
      <c r="K50" s="6" t="n">
        <v>0.966733151026462</v>
      </c>
      <c r="L50" s="6" t="n">
        <v>0.6098129065587286</v>
      </c>
      <c r="M50" s="6" t="n">
        <v>0.5772670933396375</v>
      </c>
      <c r="N50" s="6" t="n">
        <v>0.6420953683697893</v>
      </c>
      <c r="O50" s="6" t="n">
        <v>0.1656319205389431</v>
      </c>
      <c r="P50" s="6" t="n">
        <v>0.9803608063500416</v>
      </c>
      <c r="Q50" s="6">
        <f>1-L50</f>
        <v>0.390187093441271</v>
      </c>
      <c r="R50" s="6">
        <f>1-N50</f>
        <v>0.357904631630211</v>
      </c>
      <c r="S50" s="6">
        <f>1-M50</f>
        <v>0.422732906660362</v>
      </c>
    </row>
    <row r="51">
      <c r="A51" t="inlineStr">
        <is>
          <t>extended_logistic</t>
        </is>
      </c>
      <c r="B51" t="inlineStr">
        <is>
          <t>Non-Hispanic Black</t>
        </is>
      </c>
      <c r="C51" t="inlineStr">
        <is>
          <t>hba1c_pos</t>
        </is>
      </c>
      <c r="D51" s="9" t="n">
        <v>1312</v>
      </c>
      <c r="E51" s="9" t="n">
        <v>181</v>
      </c>
      <c r="F51" s="9" t="n">
        <v>1131</v>
      </c>
      <c r="G51" s="7" t="n">
        <v>140.9224638484511</v>
      </c>
      <c r="H51" t="inlineStr">
        <is>
          <t>OK</t>
        </is>
      </c>
      <c r="I51" s="6" t="n">
        <v>0.831848719949431</v>
      </c>
      <c r="J51" s="6" t="n">
        <v>0.7371105210519818</v>
      </c>
      <c r="K51" s="6" t="n">
        <v>0.9078664313109286</v>
      </c>
      <c r="L51" s="6" t="n">
        <v>0.6748442059786279</v>
      </c>
      <c r="M51" s="6" t="n">
        <v>0.6441783569262921</v>
      </c>
      <c r="N51" s="6" t="n">
        <v>0.7042568530288796</v>
      </c>
      <c r="O51" s="6" t="n">
        <v>0.2497741424717163</v>
      </c>
      <c r="P51" s="6" t="n">
        <v>0.9687174082859634</v>
      </c>
      <c r="Q51" s="6">
        <f>1-L51</f>
        <v>0.32515579402137196</v>
      </c>
      <c r="R51" s="6">
        <f>1-N51</f>
        <v>0.29574314697112003</v>
      </c>
      <c r="S51" s="6">
        <f>1-M51</f>
        <v>0.355821643073708</v>
      </c>
    </row>
    <row r="52">
      <c r="A52" t="inlineStr">
        <is>
          <t>extended_logistic</t>
        </is>
      </c>
      <c r="B52" t="inlineStr">
        <is>
          <t>Mexican American</t>
        </is>
      </c>
      <c r="C52" t="inlineStr">
        <is>
          <t>hba1c_pos</t>
        </is>
      </c>
      <c r="D52" s="9" t="n">
        <v>856</v>
      </c>
      <c r="E52" s="9" t="n">
        <v>112</v>
      </c>
      <c r="F52" s="9" t="n">
        <v>744</v>
      </c>
      <c r="G52" s="7" t="n">
        <v>70.72659750652981</v>
      </c>
      <c r="H52" t="inlineStr">
        <is>
          <t>OK</t>
        </is>
      </c>
      <c r="I52" s="6" t="n">
        <v>0.6919614799475017</v>
      </c>
      <c r="J52" s="6" t="n">
        <v>0.6105304272043699</v>
      </c>
      <c r="K52" s="6" t="n">
        <v>0.8024237315476737</v>
      </c>
      <c r="L52" s="6" t="n">
        <v>0.7401597580558305</v>
      </c>
      <c r="M52" s="6" t="n">
        <v>0.6841181737075708</v>
      </c>
      <c r="N52" s="6" t="n">
        <v>0.7856151060932115</v>
      </c>
      <c r="O52" s="6" t="n">
        <v>0.2024383006226161</v>
      </c>
      <c r="P52" s="6" t="n">
        <v>0.961935991034947</v>
      </c>
      <c r="Q52" s="6">
        <f>1-L52</f>
        <v>0.25984024194417</v>
      </c>
      <c r="R52" s="6">
        <f>1-N52</f>
        <v>0.21438489390678805</v>
      </c>
      <c r="S52" s="6">
        <f>1-M52</f>
        <v>0.315881826292429</v>
      </c>
    </row>
    <row r="53">
      <c r="A53" t="inlineStr">
        <is>
          <t>extended_logistic</t>
        </is>
      </c>
      <c r="B53" t="inlineStr">
        <is>
          <t>Other Hispanic</t>
        </is>
      </c>
      <c r="C53" t="inlineStr">
        <is>
          <t>hba1c_pos</t>
        </is>
      </c>
      <c r="D53" s="9" t="n">
        <v>546</v>
      </c>
      <c r="E53" s="9" t="n">
        <v>74</v>
      </c>
      <c r="F53" s="9" t="n">
        <v>472</v>
      </c>
      <c r="G53" s="7" t="n">
        <v>53.36908782768276</v>
      </c>
      <c r="H53" t="inlineStr">
        <is>
          <t>OK</t>
        </is>
      </c>
      <c r="I53" s="6" t="n">
        <v>0.8177832311829907</v>
      </c>
      <c r="J53" s="6" t="n">
        <v>0.7062756942700642</v>
      </c>
      <c r="K53" s="6" t="n">
        <v>0.9297464734855838</v>
      </c>
      <c r="L53" s="6" t="n">
        <v>0.7573124594721522</v>
      </c>
      <c r="M53" s="6" t="n">
        <v>0.7139354060378847</v>
      </c>
      <c r="N53" s="6" t="n">
        <v>0.8009622105224491</v>
      </c>
      <c r="O53" s="6" t="n">
        <v>0.2291264721689954</v>
      </c>
      <c r="P53" s="6" t="n">
        <v>0.9793678393182969</v>
      </c>
      <c r="Q53" s="6">
        <f>1-L53</f>
        <v>0.24268754052784802</v>
      </c>
      <c r="R53" s="6">
        <f>1-N53</f>
        <v>0.19903778947755102</v>
      </c>
      <c r="S53" s="6">
        <f>1-M53</f>
        <v>0.28606459396211503</v>
      </c>
    </row>
    <row r="54">
      <c r="A54" t="inlineStr">
        <is>
          <t>extended_logistic</t>
        </is>
      </c>
      <c r="B54" t="inlineStr">
        <is>
          <t>Non-Hispanic Asian</t>
        </is>
      </c>
      <c r="C54" t="inlineStr">
        <is>
          <t>hba1c_pos</t>
        </is>
      </c>
      <c r="D54" s="9" t="n">
        <v>796</v>
      </c>
      <c r="E54" s="9" t="n">
        <v>102</v>
      </c>
      <c r="F54" s="9" t="n">
        <v>694</v>
      </c>
      <c r="G54" s="7" t="n">
        <v>88.86867277325152</v>
      </c>
      <c r="H54" t="inlineStr">
        <is>
          <t>OK</t>
        </is>
      </c>
      <c r="I54" s="6" t="n">
        <v>0.6861162507066888</v>
      </c>
      <c r="J54" s="6" t="n">
        <v>0.5914193754785433</v>
      </c>
      <c r="K54" s="6" t="n">
        <v>0.7727125551626199</v>
      </c>
      <c r="L54" s="6" t="n">
        <v>0.8110377703121765</v>
      </c>
      <c r="M54" s="6" t="n">
        <v>0.7821479857659114</v>
      </c>
      <c r="N54" s="6" t="n">
        <v>0.8413792065336282</v>
      </c>
      <c r="O54" s="6" t="n">
        <v>0.3212180830715456</v>
      </c>
      <c r="P54" s="6" t="n">
        <v>0.9520735922569924</v>
      </c>
      <c r="Q54" s="6">
        <f>1-L54</f>
        <v>0.18896222968782395</v>
      </c>
      <c r="R54" s="6">
        <f>1-N54</f>
        <v>0.15862079346637203</v>
      </c>
      <c r="S54" s="6">
        <f>1-M54</f>
        <v>0.21785201423408895</v>
      </c>
    </row>
    <row r="55">
      <c r="A55" t="inlineStr">
        <is>
          <t>extended_logistic</t>
        </is>
      </c>
      <c r="B55" t="inlineStr">
        <is>
          <t>Other/Multiracial</t>
        </is>
      </c>
      <c r="C55" t="inlineStr">
        <is>
          <t>hba1c_pos</t>
        </is>
      </c>
      <c r="D55" s="9" t="n">
        <v>341</v>
      </c>
      <c r="E55" s="9" t="n">
        <v>39</v>
      </c>
      <c r="F55" s="9" t="n">
        <v>302</v>
      </c>
      <c r="G55" s="7" t="n">
        <v>16.26993925564318</v>
      </c>
      <c r="H55" t="inlineStr">
        <is>
          <t>SMALL SAMPLE</t>
        </is>
      </c>
      <c r="I55" s="6" t="n">
        <v>0.9069384663382608</v>
      </c>
      <c r="J55" s="6" t="n">
        <v>0.8000926286840288</v>
      </c>
      <c r="K55" s="6" t="n">
        <v>0.9696388686961838</v>
      </c>
      <c r="L55" s="6" t="n">
        <v>0.7144460481909201</v>
      </c>
      <c r="M55" s="6" t="n">
        <v>0.6627605204475797</v>
      </c>
      <c r="N55" s="6" t="n">
        <v>0.7849921959844635</v>
      </c>
      <c r="O55" s="6" t="n">
        <v>0.2512149119500098</v>
      </c>
      <c r="P55" s="6" t="n">
        <v>0.9864878470923872</v>
      </c>
      <c r="Q55" s="6">
        <f>1-L55</f>
        <v>0.28555395180908005</v>
      </c>
      <c r="R55" s="6">
        <f>1-N55</f>
        <v>0.21500780401553699</v>
      </c>
      <c r="S55" s="6">
        <f>1-M55</f>
        <v>0.33723947955241995</v>
      </c>
    </row>
    <row r="56">
      <c r="A56" t="inlineStr">
        <is>
          <t>extended_logistic</t>
        </is>
      </c>
      <c r="B56" t="inlineStr">
        <is>
          <t>All groups</t>
        </is>
      </c>
      <c r="C56" t="inlineStr">
        <is>
          <t>hba1c_pos</t>
        </is>
      </c>
      <c r="D56" s="9" t="n">
        <v>5873</v>
      </c>
      <c r="E56" s="9" t="n">
        <v>711</v>
      </c>
      <c r="F56" s="9" t="n">
        <v>5162</v>
      </c>
      <c r="G56" s="7" t="n">
        <v>271.0185017900856</v>
      </c>
      <c r="H56" t="inlineStr">
        <is>
          <t>OK</t>
        </is>
      </c>
      <c r="I56" s="6" t="n">
        <v>0.8287442408107522</v>
      </c>
      <c r="J56" s="6" t="n">
        <v>0.7875308601020138</v>
      </c>
      <c r="K56" s="6" t="n">
        <v>0.879998841478458</v>
      </c>
      <c r="L56" s="6" t="n">
        <v>0.6563673514126072</v>
      </c>
      <c r="M56" s="6" t="n">
        <v>0.6326468545165104</v>
      </c>
      <c r="N56" s="6" t="n">
        <v>0.6811716465430715</v>
      </c>
      <c r="O56" s="6" t="n">
        <v>0.1903377257002118</v>
      </c>
      <c r="P56" s="6" t="n">
        <v>0.9753036556182936</v>
      </c>
      <c r="Q56" s="6">
        <f>1-L56</f>
        <v>0.34363264858739295</v>
      </c>
      <c r="R56" s="6">
        <f>1-N56</f>
        <v>0.31882835345692895</v>
      </c>
      <c r="S56" s="6">
        <f>1-M56</f>
        <v>0.36735314548348996</v>
      </c>
    </row>
    <row r="57">
      <c r="A57" t="inlineStr">
        <is>
          <t>extended_boosting</t>
        </is>
      </c>
      <c r="B57" t="inlineStr">
        <is>
          <t>Non-Hispanic White</t>
        </is>
      </c>
      <c r="C57" t="inlineStr">
        <is>
          <t>diagnosed</t>
        </is>
      </c>
      <c r="D57" s="9" t="n">
        <v>2022</v>
      </c>
      <c r="E57" s="9" t="n">
        <v>203</v>
      </c>
      <c r="F57" s="9" t="n">
        <v>1819</v>
      </c>
      <c r="G57" s="7" t="n">
        <v>104.6003804515824</v>
      </c>
      <c r="H57" t="inlineStr">
        <is>
          <t>OK</t>
        </is>
      </c>
      <c r="I57" s="6" t="n">
        <v>0.8715472742477177</v>
      </c>
      <c r="J57" s="6" t="n">
        <v>0.8011533015705603</v>
      </c>
      <c r="K57" s="6" t="n">
        <v>0.965502410574462</v>
      </c>
      <c r="L57" s="6" t="n">
        <v>0.6146161805359609</v>
      </c>
      <c r="M57" s="6" t="n">
        <v>0.5872949271479803</v>
      </c>
      <c r="N57" s="6" t="n">
        <v>0.6419038531689445</v>
      </c>
      <c r="O57" s="6" t="n">
        <v>0.1684927984439096</v>
      </c>
      <c r="P57" s="6" t="n">
        <v>0.9816207110052784</v>
      </c>
      <c r="Q57" s="6">
        <f>1-L57</f>
        <v>0.385383819464039</v>
      </c>
      <c r="R57" s="6">
        <f>1-N57</f>
        <v>0.35809614683105595</v>
      </c>
      <c r="S57" s="6">
        <f>1-M57</f>
        <v>0.41270507285201996</v>
      </c>
    </row>
    <row r="58">
      <c r="A58" t="inlineStr">
        <is>
          <t>extended_boosting</t>
        </is>
      </c>
      <c r="B58" t="inlineStr">
        <is>
          <t>Non-Hispanic Black</t>
        </is>
      </c>
      <c r="C58" t="inlineStr">
        <is>
          <t>diagnosed</t>
        </is>
      </c>
      <c r="D58" s="9" t="n">
        <v>1312</v>
      </c>
      <c r="E58" s="9" t="n">
        <v>181</v>
      </c>
      <c r="F58" s="9" t="n">
        <v>1131</v>
      </c>
      <c r="G58" s="7" t="n">
        <v>140.9224638484511</v>
      </c>
      <c r="H58" t="inlineStr">
        <is>
          <t>OK</t>
        </is>
      </c>
      <c r="I58" s="6" t="n">
        <v>0.8173901480846435</v>
      </c>
      <c r="J58" s="6" t="n">
        <v>0.7216556828957685</v>
      </c>
      <c r="K58" s="6" t="n">
        <v>0.9056976086880624</v>
      </c>
      <c r="L58" s="6" t="n">
        <v>0.6970539230743716</v>
      </c>
      <c r="M58" s="6" t="n">
        <v>0.6753759379440087</v>
      </c>
      <c r="N58" s="6" t="n">
        <v>0.7208921685725633</v>
      </c>
      <c r="O58" s="6" t="n">
        <v>0.2595290646730263</v>
      </c>
      <c r="P58" s="6" t="n">
        <v>0.9671318870912724</v>
      </c>
      <c r="Q58" s="6">
        <f>1-L58</f>
        <v>0.302946076925628</v>
      </c>
      <c r="R58" s="6">
        <f>1-N58</f>
        <v>0.279107831427437</v>
      </c>
      <c r="S58" s="6">
        <f>1-M58</f>
        <v>0.32462406205599104</v>
      </c>
    </row>
    <row r="59">
      <c r="A59" t="inlineStr">
        <is>
          <t>extended_boosting</t>
        </is>
      </c>
      <c r="B59" t="inlineStr">
        <is>
          <t>Mexican American</t>
        </is>
      </c>
      <c r="C59" t="inlineStr">
        <is>
          <t>diagnosed</t>
        </is>
      </c>
      <c r="D59" s="9" t="n">
        <v>856</v>
      </c>
      <c r="E59" s="9" t="n">
        <v>112</v>
      </c>
      <c r="F59" s="9" t="n">
        <v>744</v>
      </c>
      <c r="G59" s="7" t="n">
        <v>70.72659750652981</v>
      </c>
      <c r="H59" t="inlineStr">
        <is>
          <t>OK</t>
        </is>
      </c>
      <c r="I59" s="6" t="n">
        <v>0.705258918746241</v>
      </c>
      <c r="J59" s="6" t="n">
        <v>0.6247226958241641</v>
      </c>
      <c r="K59" s="6" t="n">
        <v>0.8063774670344146</v>
      </c>
      <c r="L59" s="6" t="n">
        <v>0.7707579950592779</v>
      </c>
      <c r="M59" s="6" t="n">
        <v>0.7182088899217272</v>
      </c>
      <c r="N59" s="6" t="n">
        <v>0.8141009387823591</v>
      </c>
      <c r="O59" s="6" t="n">
        <v>0.2272073520181138</v>
      </c>
      <c r="P59" s="6" t="n">
        <v>0.9648217821993011</v>
      </c>
      <c r="Q59" s="6">
        <f>1-L59</f>
        <v>0.229242004940722</v>
      </c>
      <c r="R59" s="6">
        <f>1-N59</f>
        <v>0.185899061217641</v>
      </c>
      <c r="S59" s="6">
        <f>1-M59</f>
        <v>0.28179111007827295</v>
      </c>
    </row>
    <row r="60">
      <c r="A60" t="inlineStr">
        <is>
          <t>extended_boosting</t>
        </is>
      </c>
      <c r="B60" t="inlineStr">
        <is>
          <t>Other Hispanic</t>
        </is>
      </c>
      <c r="C60" t="inlineStr">
        <is>
          <t>diagnosed</t>
        </is>
      </c>
      <c r="D60" s="9" t="n">
        <v>546</v>
      </c>
      <c r="E60" s="9" t="n">
        <v>74</v>
      </c>
      <c r="F60" s="9" t="n">
        <v>472</v>
      </c>
      <c r="G60" s="7" t="n">
        <v>53.36908782768276</v>
      </c>
      <c r="H60" t="inlineStr">
        <is>
          <t>OK</t>
        </is>
      </c>
      <c r="I60" s="6" t="n">
        <v>0.8328789990021985</v>
      </c>
      <c r="J60" s="6" t="n">
        <v>0.6862340560587982</v>
      </c>
      <c r="K60" s="6" t="n">
        <v>0.9833694810528464</v>
      </c>
      <c r="L60" s="6" t="n">
        <v>0.7730619397066679</v>
      </c>
      <c r="M60" s="6" t="n">
        <v>0.7195404971831451</v>
      </c>
      <c r="N60" s="6" t="n">
        <v>0.8206882718364998</v>
      </c>
      <c r="O60" s="6" t="n">
        <v>0.2436524175912574</v>
      </c>
      <c r="P60" s="6" t="n">
        <v>0.9814049035206682</v>
      </c>
      <c r="Q60" s="6">
        <f>1-L60</f>
        <v>0.22693806029333197</v>
      </c>
      <c r="R60" s="6">
        <f>1-N60</f>
        <v>0.17931172816350005</v>
      </c>
      <c r="S60" s="6">
        <f>1-M60</f>
        <v>0.28045950281685506</v>
      </c>
    </row>
    <row r="61">
      <c r="A61" t="inlineStr">
        <is>
          <t>extended_boosting</t>
        </is>
      </c>
      <c r="B61" t="inlineStr">
        <is>
          <t>Non-Hispanic Asian</t>
        </is>
      </c>
      <c r="C61" t="inlineStr">
        <is>
          <t>diagnosed</t>
        </is>
      </c>
      <c r="D61" s="9" t="n">
        <v>796</v>
      </c>
      <c r="E61" s="9" t="n">
        <v>102</v>
      </c>
      <c r="F61" s="9" t="n">
        <v>694</v>
      </c>
      <c r="G61" s="7" t="n">
        <v>88.86867277325152</v>
      </c>
      <c r="H61" t="inlineStr">
        <is>
          <t>OK</t>
        </is>
      </c>
      <c r="I61" s="6" t="n">
        <v>0.6854030904817513</v>
      </c>
      <c r="J61" s="6" t="n">
        <v>0.5910208089219</v>
      </c>
      <c r="K61" s="6" t="n">
        <v>0.7919613049677464</v>
      </c>
      <c r="L61" s="6" t="n">
        <v>0.8141151232450227</v>
      </c>
      <c r="M61" s="6" t="n">
        <v>0.7855206144250626</v>
      </c>
      <c r="N61" s="6" t="n">
        <v>0.8420852610445165</v>
      </c>
      <c r="O61" s="6" t="n">
        <v>0.3247450982042059</v>
      </c>
      <c r="P61" s="6" t="n">
        <v>0.9521375753113522</v>
      </c>
      <c r="Q61" s="6">
        <f>1-L61</f>
        <v>0.185884876754977</v>
      </c>
      <c r="R61" s="6">
        <f>1-N61</f>
        <v>0.15791473895548302</v>
      </c>
      <c r="S61" s="6">
        <f>1-M61</f>
        <v>0.21447938557493695</v>
      </c>
    </row>
    <row r="62">
      <c r="A62" t="inlineStr">
        <is>
          <t>extended_boosting</t>
        </is>
      </c>
      <c r="B62" t="inlineStr">
        <is>
          <t>Other/Multiracial</t>
        </is>
      </c>
      <c r="C62" t="inlineStr">
        <is>
          <t>diagnosed</t>
        </is>
      </c>
      <c r="D62" s="9" t="n">
        <v>341</v>
      </c>
      <c r="E62" s="9" t="n">
        <v>39</v>
      </c>
      <c r="F62" s="9" t="n">
        <v>302</v>
      </c>
      <c r="G62" s="7" t="n">
        <v>16.26993925564318</v>
      </c>
      <c r="H62" t="inlineStr">
        <is>
          <t>SMALL SAMPLE</t>
        </is>
      </c>
      <c r="I62" s="6" t="n">
        <v>0.9133477225295896</v>
      </c>
      <c r="J62" s="6" t="n">
        <v>0.8061522107588838</v>
      </c>
      <c r="K62" s="6" t="n">
        <v>0.9675337610149142</v>
      </c>
      <c r="L62" s="6" t="n">
        <v>0.7266151852690433</v>
      </c>
      <c r="M62" s="6" t="n">
        <v>0.6381396897799254</v>
      </c>
      <c r="N62" s="6" t="n">
        <v>0.8429804527762824</v>
      </c>
      <c r="O62" s="6" t="n">
        <v>0.2612567989784015</v>
      </c>
      <c r="P62" s="6" t="n">
        <v>0.987585788672097</v>
      </c>
      <c r="Q62" s="6">
        <f>1-L62</f>
        <v>0.273384814730957</v>
      </c>
      <c r="R62" s="6">
        <f>1-N62</f>
        <v>0.15701954722371803</v>
      </c>
      <c r="S62" s="6">
        <f>1-M62</f>
        <v>0.36186031022007503</v>
      </c>
    </row>
    <row r="63">
      <c r="A63" t="inlineStr">
        <is>
          <t>extended_boosting</t>
        </is>
      </c>
      <c r="B63" t="inlineStr">
        <is>
          <t>All groups</t>
        </is>
      </c>
      <c r="C63" t="inlineStr">
        <is>
          <t>diagnosed</t>
        </is>
      </c>
      <c r="D63" s="9" t="n">
        <v>5873</v>
      </c>
      <c r="E63" s="9" t="n">
        <v>711</v>
      </c>
      <c r="F63" s="9" t="n">
        <v>5162</v>
      </c>
      <c r="G63" s="7" t="n">
        <v>271.0185017900856</v>
      </c>
      <c r="H63" t="inlineStr">
        <is>
          <t>OK</t>
        </is>
      </c>
      <c r="I63" s="6" t="n">
        <v>0.8340165526444195</v>
      </c>
      <c r="J63" s="6" t="n">
        <v>0.7870009670095235</v>
      </c>
      <c r="K63" s="6" t="n">
        <v>0.8832060175824757</v>
      </c>
      <c r="L63" s="6" t="n">
        <v>0.666652248607307</v>
      </c>
      <c r="M63" s="6" t="n">
        <v>0.6489337643500863</v>
      </c>
      <c r="N63" s="6" t="n">
        <v>0.687495849784834</v>
      </c>
      <c r="O63" s="6" t="n">
        <v>0.1958595738012994</v>
      </c>
      <c r="P63" s="6" t="n">
        <v>0.976349951319863</v>
      </c>
      <c r="Q63" s="6">
        <f>1-L63</f>
        <v>0.333347751392693</v>
      </c>
      <c r="R63" s="6">
        <f>1-N63</f>
        <v>0.312504150215166</v>
      </c>
      <c r="S63" s="6">
        <f>1-M63</f>
        <v>0.351066235649914</v>
      </c>
    </row>
    <row r="64">
      <c r="A64" t="inlineStr">
        <is>
          <t>extended_boosting</t>
        </is>
      </c>
      <c r="B64" t="inlineStr">
        <is>
          <t>Non-Hispanic White</t>
        </is>
      </c>
      <c r="C64" t="inlineStr">
        <is>
          <t>hba1c_pos</t>
        </is>
      </c>
      <c r="D64" s="9" t="n">
        <v>2022</v>
      </c>
      <c r="E64" s="9" t="n">
        <v>203</v>
      </c>
      <c r="F64" s="9" t="n">
        <v>1819</v>
      </c>
      <c r="G64" s="7" t="n">
        <v>104.6003804515824</v>
      </c>
      <c r="H64" t="inlineStr">
        <is>
          <t>OK</t>
        </is>
      </c>
      <c r="I64" s="6" t="n">
        <v>0.8686954733235014</v>
      </c>
      <c r="J64" s="6" t="n">
        <v>0.8108013980395168</v>
      </c>
      <c r="K64" s="6" t="n">
        <v>0.9491879032826778</v>
      </c>
      <c r="L64" s="6" t="n">
        <v>0.6458870741974456</v>
      </c>
      <c r="M64" s="6" t="n">
        <v>0.6201121351725402</v>
      </c>
      <c r="N64" s="6" t="n">
        <v>0.6702605941044135</v>
      </c>
      <c r="O64" s="6" t="n">
        <v>0.1803225281747141</v>
      </c>
      <c r="P64" s="6" t="n">
        <v>0.9821109605699544</v>
      </c>
      <c r="Q64" s="6">
        <f>1-L64</f>
        <v>0.35411292580255405</v>
      </c>
      <c r="R64" s="6">
        <f>1-N64</f>
        <v>0.32973940589558604</v>
      </c>
      <c r="S64" s="6">
        <f>1-M64</f>
        <v>0.37988786482745995</v>
      </c>
    </row>
    <row r="65">
      <c r="A65" t="inlineStr">
        <is>
          <t>extended_boosting</t>
        </is>
      </c>
      <c r="B65" t="inlineStr">
        <is>
          <t>Non-Hispanic Black</t>
        </is>
      </c>
      <c r="C65" t="inlineStr">
        <is>
          <t>hba1c_pos</t>
        </is>
      </c>
      <c r="D65" s="9" t="n">
        <v>1312</v>
      </c>
      <c r="E65" s="9" t="n">
        <v>181</v>
      </c>
      <c r="F65" s="9" t="n">
        <v>1131</v>
      </c>
      <c r="G65" s="7" t="n">
        <v>140.9224638484511</v>
      </c>
      <c r="H65" t="inlineStr">
        <is>
          <t>OK</t>
        </is>
      </c>
      <c r="I65" s="6" t="n">
        <v>0.8260302375493132</v>
      </c>
      <c r="J65" s="6" t="n">
        <v>0.7454969675945561</v>
      </c>
      <c r="K65" s="6" t="n">
        <v>0.906346396299249</v>
      </c>
      <c r="L65" s="6" t="n">
        <v>0.7035304155532274</v>
      </c>
      <c r="M65" s="6" t="n">
        <v>0.671371201097937</v>
      </c>
      <c r="N65" s="6" t="n">
        <v>0.7362353112537854</v>
      </c>
      <c r="O65" s="6" t="n">
        <v>0.2658958506409653</v>
      </c>
      <c r="P65" s="6" t="n">
        <v>0.9689457792926396</v>
      </c>
      <c r="Q65" s="6">
        <f>1-L65</f>
        <v>0.29646958444677296</v>
      </c>
      <c r="R65" s="6">
        <f>1-N65</f>
        <v>0.26376468874621495</v>
      </c>
      <c r="S65" s="6">
        <f>1-M65</f>
        <v>0.328628798902063</v>
      </c>
    </row>
    <row r="66">
      <c r="A66" t="inlineStr">
        <is>
          <t>extended_boosting</t>
        </is>
      </c>
      <c r="B66" t="inlineStr">
        <is>
          <t>Mexican American</t>
        </is>
      </c>
      <c r="C66" t="inlineStr">
        <is>
          <t>hba1c_pos</t>
        </is>
      </c>
      <c r="D66" s="9" t="n">
        <v>856</v>
      </c>
      <c r="E66" s="9" t="n">
        <v>112</v>
      </c>
      <c r="F66" s="9" t="n">
        <v>744</v>
      </c>
      <c r="G66" s="7" t="n">
        <v>70.72659750652981</v>
      </c>
      <c r="H66" t="inlineStr">
        <is>
          <t>OK</t>
        </is>
      </c>
      <c r="I66" s="6" t="n">
        <v>0.6513838904638287</v>
      </c>
      <c r="J66" s="6" t="n">
        <v>0.5590623842234397</v>
      </c>
      <c r="K66" s="6" t="n">
        <v>0.7651625035747673</v>
      </c>
      <c r="L66" s="6" t="n">
        <v>0.7752241150821709</v>
      </c>
      <c r="M66" s="6" t="n">
        <v>0.7177834654065743</v>
      </c>
      <c r="N66" s="6" t="n">
        <v>0.8249894018317634</v>
      </c>
      <c r="O66" s="6" t="n">
        <v>0.2167389302969215</v>
      </c>
      <c r="P66" s="6" t="n">
        <v>0.9588871032557325</v>
      </c>
      <c r="Q66" s="6">
        <f>1-L66</f>
        <v>0.22477588491782896</v>
      </c>
      <c r="R66" s="6">
        <f>1-N66</f>
        <v>0.17501059816823705</v>
      </c>
      <c r="S66" s="6">
        <f>1-M66</f>
        <v>0.282216534593426</v>
      </c>
    </row>
    <row r="67">
      <c r="A67" t="inlineStr">
        <is>
          <t>extended_boosting</t>
        </is>
      </c>
      <c r="B67" t="inlineStr">
        <is>
          <t>Other Hispanic</t>
        </is>
      </c>
      <c r="C67" t="inlineStr">
        <is>
          <t>hba1c_pos</t>
        </is>
      </c>
      <c r="D67" s="9" t="n">
        <v>546</v>
      </c>
      <c r="E67" s="9" t="n">
        <v>74</v>
      </c>
      <c r="F67" s="9" t="n">
        <v>472</v>
      </c>
      <c r="G67" s="7" t="n">
        <v>53.36908782768276</v>
      </c>
      <c r="H67" t="inlineStr">
        <is>
          <t>OK</t>
        </is>
      </c>
      <c r="I67" s="6" t="n">
        <v>0.7799775873320186</v>
      </c>
      <c r="J67" s="6" t="n">
        <v>0.6395781669791744</v>
      </c>
      <c r="K67" s="6" t="n">
        <v>0.8888651647490982</v>
      </c>
      <c r="L67" s="6" t="n">
        <v>0.7686186750611782</v>
      </c>
      <c r="M67" s="6" t="n">
        <v>0.7262353336161701</v>
      </c>
      <c r="N67" s="6" t="n">
        <v>0.8101272806338666</v>
      </c>
      <c r="O67" s="6" t="n">
        <v>0.2284934196452397</v>
      </c>
      <c r="P67" s="6" t="n">
        <v>0.9755303002713208</v>
      </c>
      <c r="Q67" s="6">
        <f>1-L67</f>
        <v>0.23138132493882202</v>
      </c>
      <c r="R67" s="6">
        <f>1-N67</f>
        <v>0.18987271936613304</v>
      </c>
      <c r="S67" s="6">
        <f>1-M67</f>
        <v>0.27376466638383</v>
      </c>
    </row>
    <row r="68">
      <c r="A68" t="inlineStr">
        <is>
          <t>extended_boosting</t>
        </is>
      </c>
      <c r="B68" t="inlineStr">
        <is>
          <t>Non-Hispanic Asian</t>
        </is>
      </c>
      <c r="C68" t="inlineStr">
        <is>
          <t>hba1c_pos</t>
        </is>
      </c>
      <c r="D68" s="9" t="n">
        <v>796</v>
      </c>
      <c r="E68" s="9" t="n">
        <v>102</v>
      </c>
      <c r="F68" s="9" t="n">
        <v>694</v>
      </c>
      <c r="G68" s="7" t="n">
        <v>88.86867277325152</v>
      </c>
      <c r="H68" t="inlineStr">
        <is>
          <t>OK</t>
        </is>
      </c>
      <c r="I68" s="6" t="n">
        <v>0.6829073591839016</v>
      </c>
      <c r="J68" s="6" t="n">
        <v>0.6072703201320689</v>
      </c>
      <c r="K68" s="6" t="n">
        <v>0.7808780563997519</v>
      </c>
      <c r="L68" s="6" t="n">
        <v>0.8319941561565342</v>
      </c>
      <c r="M68" s="6" t="n">
        <v>0.8099901284691708</v>
      </c>
      <c r="N68" s="6" t="n">
        <v>0.8571773960534068</v>
      </c>
      <c r="O68" s="6" t="n">
        <v>0.3469214994584337</v>
      </c>
      <c r="P68" s="6" t="n">
        <v>0.9528183584857284</v>
      </c>
      <c r="Q68" s="6">
        <f>1-L68</f>
        <v>0.16800584384346595</v>
      </c>
      <c r="R68" s="6">
        <f>1-N68</f>
        <v>0.14282260394659296</v>
      </c>
      <c r="S68" s="6">
        <f>1-M68</f>
        <v>0.19000987153082904</v>
      </c>
    </row>
    <row r="69">
      <c r="A69" t="inlineStr">
        <is>
          <t>extended_boosting</t>
        </is>
      </c>
      <c r="B69" t="inlineStr">
        <is>
          <t>Other/Multiracial</t>
        </is>
      </c>
      <c r="C69" t="inlineStr">
        <is>
          <t>hba1c_pos</t>
        </is>
      </c>
      <c r="D69" s="9" t="n">
        <v>341</v>
      </c>
      <c r="E69" s="9" t="n">
        <v>39</v>
      </c>
      <c r="F69" s="9" t="n">
        <v>302</v>
      </c>
      <c r="G69" s="7" t="n">
        <v>16.26993925564318</v>
      </c>
      <c r="H69" t="inlineStr">
        <is>
          <t>SMALL SAMPLE</t>
        </is>
      </c>
      <c r="I69" s="6" t="n">
        <v>0.9009547674237712</v>
      </c>
      <c r="J69" s="6" t="n">
        <v>0.7809982020030345</v>
      </c>
      <c r="K69" s="6" t="n">
        <v>0.9636719205852818</v>
      </c>
      <c r="L69" s="6" t="n">
        <v>0.7494577689682458</v>
      </c>
      <c r="M69" s="6" t="n">
        <v>0.6852626084166237</v>
      </c>
      <c r="N69" s="6" t="n">
        <v>0.839911534385837</v>
      </c>
      <c r="O69" s="6" t="n">
        <v>0.2752803476424882</v>
      </c>
      <c r="P69" s="6" t="n">
        <v>0.9862997138420726</v>
      </c>
      <c r="Q69" s="6">
        <f>1-L69</f>
        <v>0.250542231031754</v>
      </c>
      <c r="R69" s="6">
        <f>1-N69</f>
        <v>0.160088465614163</v>
      </c>
      <c r="S69" s="6">
        <f>1-M69</f>
        <v>0.314737391583376</v>
      </c>
    </row>
    <row r="70">
      <c r="A70" t="inlineStr">
        <is>
          <t>extended_boosting</t>
        </is>
      </c>
      <c r="B70" t="inlineStr">
        <is>
          <t>All groups</t>
        </is>
      </c>
      <c r="C70" t="inlineStr">
        <is>
          <t>hba1c_pos</t>
        </is>
      </c>
      <c r="D70" s="9" t="n">
        <v>5873</v>
      </c>
      <c r="E70" s="9" t="n">
        <v>711</v>
      </c>
      <c r="F70" s="9" t="n">
        <v>5162</v>
      </c>
      <c r="G70" s="7" t="n">
        <v>271.0185017900856</v>
      </c>
      <c r="H70" t="inlineStr">
        <is>
          <t>OK</t>
        </is>
      </c>
      <c r="I70" s="6" t="n">
        <v>0.824119680521882</v>
      </c>
      <c r="J70" s="6" t="n">
        <v>0.7899328052928747</v>
      </c>
      <c r="K70" s="6" t="n">
        <v>0.8626775539460245</v>
      </c>
      <c r="L70" s="6" t="n">
        <v>0.6888968102013272</v>
      </c>
      <c r="M70" s="6" t="n">
        <v>0.6719735056471576</v>
      </c>
      <c r="N70" s="6" t="n">
        <v>0.7076247579740838</v>
      </c>
      <c r="O70" s="6" t="n">
        <v>0.2051074278718945</v>
      </c>
      <c r="P70" s="6" t="n">
        <v>0.9757742632216088</v>
      </c>
      <c r="Q70" s="6">
        <f>1-L70</f>
        <v>0.311103189798673</v>
      </c>
      <c r="R70" s="6">
        <f>1-N70</f>
        <v>0.292375242025916</v>
      </c>
      <c r="S70" s="6">
        <f>1-M70</f>
        <v>0.32802649435284204</v>
      </c>
    </row>
    <row r="74">
      <c r="A74" s="11" t="inlineStr">
        <is>
          <t>False-positive burden of the HbA1c label versus the diagnosed label</t>
        </is>
      </c>
    </row>
    <row r="75">
      <c r="A75" s="5" t="inlineStr">
        <is>
          <t>model</t>
        </is>
      </c>
      <c r="B75" s="5" t="inlineStr">
        <is>
          <t>group</t>
        </is>
      </c>
      <c r="C75" s="5" t="inlineStr">
        <is>
          <t>specificity_diagnosed</t>
        </is>
      </c>
      <c r="D75" s="5" t="inlineStr">
        <is>
          <t>specificity_hba1c</t>
        </is>
      </c>
      <c r="E75" s="5" t="inlineStr">
        <is>
          <t>cost</t>
        </is>
      </c>
      <c r="F75" s="5" t="inlineStr">
        <is>
          <t>cost_ci_low</t>
        </is>
      </c>
      <c r="G75" s="5" t="inlineStr">
        <is>
          <t>cost_ci_high</t>
        </is>
      </c>
      <c r="H75" s="5" t="inlineStr">
        <is>
          <t>fpr_diagnosed_label</t>
        </is>
      </c>
      <c r="I75" s="5" t="inlineStr">
        <is>
          <t>fpr_hba1c_label</t>
        </is>
      </c>
      <c r="J75" s="5" t="inlineStr">
        <is>
          <t>extra_false_positives_per_100</t>
        </is>
      </c>
      <c r="K75" s="5" t="inlineStr">
        <is>
          <t>cost_reconciles</t>
        </is>
      </c>
    </row>
    <row r="76">
      <c r="A76" t="inlineStr">
        <is>
          <t>demographic_logistic</t>
        </is>
      </c>
      <c r="B76" t="inlineStr">
        <is>
          <t>Non-Hispanic White</t>
        </is>
      </c>
      <c r="C76" s="6" t="n">
        <v>0.531384648920846</v>
      </c>
      <c r="D76" s="6" t="n">
        <v>0.5219339957906188</v>
      </c>
      <c r="E76" s="10" t="n">
        <v>0.0094506531302271</v>
      </c>
      <c r="F76" s="10" t="n">
        <v>-0.00108950236209</v>
      </c>
      <c r="G76" s="10" t="n">
        <v>0.0207395346164318</v>
      </c>
      <c r="H76" s="6">
        <f>1-C76</f>
        <v>0.468615351079154</v>
      </c>
      <c r="I76" s="6">
        <f>1-D76</f>
        <v>0.47806600420938095</v>
      </c>
      <c r="J76" s="20">
        <f>(I76-H76)*100</f>
        <v>0.9450653130226971</v>
      </c>
      <c r="K76" t="str">
        <f>IF(ABS((C76-D76)-E76)&lt;=1e-06,"PASS","FAIL")</f>
        <v>PASS</v>
      </c>
    </row>
    <row r="77">
      <c r="A77" t="inlineStr">
        <is>
          <t>demographic_logistic</t>
        </is>
      </c>
      <c r="B77" t="inlineStr">
        <is>
          <t>Non-Hispanic Black</t>
        </is>
      </c>
      <c r="C77" s="6" t="n">
        <v>0.658921975893583</v>
      </c>
      <c r="D77" s="6" t="n">
        <v>0.651691838561365</v>
      </c>
      <c r="E77" s="10" t="n">
        <v>0.007230137332218</v>
      </c>
      <c r="F77" s="10" t="n">
        <v>-0.008512045449609</v>
      </c>
      <c r="G77" s="10" t="n">
        <v>0.0206119287682106</v>
      </c>
      <c r="H77" s="6">
        <f>1-C77</f>
        <v>0.34107802410641697</v>
      </c>
      <c r="I77" s="6">
        <f>1-D77</f>
        <v>0.34830816143863497</v>
      </c>
      <c r="J77" s="20">
        <f>(I77-H77)*100</f>
        <v>0.7230137332218001</v>
      </c>
      <c r="K77" t="str">
        <f>IF(ABS((C77-D77)-E77)&lt;=1e-06,"PASS","FAIL")</f>
        <v>PASS</v>
      </c>
    </row>
    <row r="78">
      <c r="A78" t="inlineStr">
        <is>
          <t>demographic_logistic</t>
        </is>
      </c>
      <c r="B78" t="inlineStr">
        <is>
          <t>Mexican American</t>
        </is>
      </c>
      <c r="C78" s="6" t="n">
        <v>0.7567724000106426</v>
      </c>
      <c r="D78" s="6" t="n">
        <v>0.7580088873581408</v>
      </c>
      <c r="E78" s="10" t="n">
        <v>-0.0012364873474981</v>
      </c>
      <c r="F78" s="10" t="n">
        <v>-0.0169091058261665</v>
      </c>
      <c r="G78" s="10" t="n">
        <v>0.0148195707703194</v>
      </c>
      <c r="H78" s="6">
        <f>1-C78</f>
        <v>0.24322759998935695</v>
      </c>
      <c r="I78" s="6">
        <f>1-D78</f>
        <v>0.24199111264185902</v>
      </c>
      <c r="J78" s="20">
        <f>(I78-H78)*100</f>
        <v>-0.12364873474979277</v>
      </c>
      <c r="K78" t="str">
        <f>IF(ABS((C78-D78)-E78)&lt;=1e-06,"PASS","FAIL")</f>
        <v>PASS</v>
      </c>
    </row>
    <row r="79">
      <c r="A79" t="inlineStr">
        <is>
          <t>demographic_logistic</t>
        </is>
      </c>
      <c r="B79" t="inlineStr">
        <is>
          <t>Other Hispanic</t>
        </is>
      </c>
      <c r="C79" s="6" t="n">
        <v>0.6737883119484345</v>
      </c>
      <c r="D79" s="6" t="n">
        <v>0.6770495463599076</v>
      </c>
      <c r="E79" s="10" t="n">
        <v>-0.003261234411473</v>
      </c>
      <c r="F79" s="10" t="n">
        <v>-0.0264916409975037</v>
      </c>
      <c r="G79" s="10" t="n">
        <v>0.0214512566818298</v>
      </c>
      <c r="H79" s="6">
        <f>1-C79</f>
        <v>0.326211688051566</v>
      </c>
      <c r="I79" s="6">
        <f>1-D79</f>
        <v>0.322950453640092</v>
      </c>
      <c r="J79" s="20">
        <f>(I79-H79)*100</f>
        <v>-0.3261234411473968</v>
      </c>
      <c r="K79" t="str">
        <f>IF(ABS((C79-D79)-E79)&lt;=1e-06,"PASS","FAIL")</f>
        <v>PASS</v>
      </c>
    </row>
    <row r="80">
      <c r="A80" t="inlineStr">
        <is>
          <t>demographic_logistic</t>
        </is>
      </c>
      <c r="B80" t="inlineStr">
        <is>
          <t>Non-Hispanic Asian</t>
        </is>
      </c>
      <c r="C80" s="6" t="n">
        <v>0.6731666410322557</v>
      </c>
      <c r="D80" s="6" t="n">
        <v>0.6644311250133661</v>
      </c>
      <c r="E80" s="10" t="n">
        <v>0.0087355160188895</v>
      </c>
      <c r="F80" s="10" t="n">
        <v>-0.0076863365792768</v>
      </c>
      <c r="G80" s="10" t="n">
        <v>0.0250008002282706</v>
      </c>
      <c r="H80" s="6">
        <f>1-C80</f>
        <v>0.326833358967744</v>
      </c>
      <c r="I80" s="6">
        <f>1-D80</f>
        <v>0.335568874986634</v>
      </c>
      <c r="J80" s="20">
        <f>(I80-H80)*100</f>
        <v>0.8735516018889999</v>
      </c>
      <c r="K80" t="str">
        <f>IF(ABS((C80-D80)-E80)&lt;=1e-06,"PASS","FAIL")</f>
        <v>PASS</v>
      </c>
    </row>
    <row r="81">
      <c r="A81" t="inlineStr">
        <is>
          <t>demographic_logistic</t>
        </is>
      </c>
      <c r="B81" t="inlineStr">
        <is>
          <t>Other/Multiracial</t>
        </is>
      </c>
      <c r="C81" s="6" t="n">
        <v>0.6559137255950619</v>
      </c>
      <c r="D81" s="6" t="n">
        <v>0.6483559560948203</v>
      </c>
      <c r="E81" s="10" t="n">
        <v>0.0075577695002415</v>
      </c>
      <c r="F81" s="10" t="n">
        <v>-0.0061361284342646</v>
      </c>
      <c r="G81" s="10" t="n">
        <v>0.0225586041835033</v>
      </c>
      <c r="H81" s="6">
        <f>1-C81</f>
        <v>0.344086274404938</v>
      </c>
      <c r="I81" s="6">
        <f>1-D81</f>
        <v>0.35164404390518</v>
      </c>
      <c r="J81" s="20">
        <f>(I81-H81)*100</f>
        <v>0.7557769500242006</v>
      </c>
      <c r="K81" t="str">
        <f>IF(ABS((C81-D81)-E81)&lt;=1e-06,"PASS","FAIL")</f>
        <v>PASS</v>
      </c>
    </row>
    <row r="82">
      <c r="A82" t="inlineStr">
        <is>
          <t>demographic_logistic</t>
        </is>
      </c>
      <c r="B82" t="inlineStr">
        <is>
          <t>All groups</t>
        </is>
      </c>
      <c r="C82" s="6" t="n">
        <v>0.591467130860994</v>
      </c>
      <c r="D82" s="6" t="n">
        <v>0.5843611065770723</v>
      </c>
      <c r="E82" s="10" t="n">
        <v>0.0071060242839217</v>
      </c>
      <c r="F82" s="10" t="n">
        <v>-0.0030141821690039</v>
      </c>
      <c r="G82" s="10" t="n">
        <v>0.018115901276759</v>
      </c>
      <c r="H82" s="6">
        <f>1-C82</f>
        <v>0.408532869139006</v>
      </c>
      <c r="I82" s="6">
        <f>1-D82</f>
        <v>0.41563889342292804</v>
      </c>
      <c r="J82" s="20">
        <f>(I82-H82)*100</f>
        <v>0.7106024283922041</v>
      </c>
      <c r="K82" t="str">
        <f>IF(ABS((C82-D82)-E82)&lt;=1e-06,"PASS","FAIL")</f>
        <v>PASS</v>
      </c>
    </row>
    <row r="83">
      <c r="A83" t="inlineStr">
        <is>
          <t>demographic_race_logistic</t>
        </is>
      </c>
      <c r="B83" t="inlineStr">
        <is>
          <t>Non-Hispanic White</t>
        </is>
      </c>
      <c r="C83" s="6" t="n">
        <v>0.5841067770274971</v>
      </c>
      <c r="D83" s="6" t="n">
        <v>0.6034144315000642</v>
      </c>
      <c r="E83" s="10" t="n">
        <v>-0.0193076544725671</v>
      </c>
      <c r="F83" s="10" t="n">
        <v>-0.0368671537110657</v>
      </c>
      <c r="G83" s="10" t="n">
        <v>-0.0011592339418198</v>
      </c>
      <c r="H83" s="6">
        <f>1-C83</f>
        <v>0.415893222972503</v>
      </c>
      <c r="I83" s="6">
        <f>1-D83</f>
        <v>0.396585568499936</v>
      </c>
      <c r="J83" s="20">
        <f>(I83-H83)*100</f>
        <v>-1.9307654472566993</v>
      </c>
      <c r="K83" t="str">
        <f>IF(ABS((C83-D83)-E83)&lt;=1e-06,"PASS","FAIL")</f>
        <v>PASS</v>
      </c>
    </row>
    <row r="84">
      <c r="A84" t="inlineStr">
        <is>
          <t>demographic_race_logistic</t>
        </is>
      </c>
      <c r="B84" t="inlineStr">
        <is>
          <t>Non-Hispanic Black</t>
        </is>
      </c>
      <c r="C84" s="6" t="n">
        <v>0.654112083149104</v>
      </c>
      <c r="D84" s="6" t="n">
        <v>0.5543584662469069</v>
      </c>
      <c r="E84" s="10" t="n">
        <v>0.099753616902197</v>
      </c>
      <c r="F84" s="10" t="n">
        <v>0.0857369193965562</v>
      </c>
      <c r="G84" s="10" t="n">
        <v>0.1121537607104059</v>
      </c>
      <c r="H84" s="6">
        <f>1-C84</f>
        <v>0.34588791685089604</v>
      </c>
      <c r="I84" s="6">
        <f>1-D84</f>
        <v>0.445641533753093</v>
      </c>
      <c r="J84" s="20">
        <f>(I84-H84)*100</f>
        <v>9.975361690219698</v>
      </c>
      <c r="K84" t="str">
        <f>IF(ABS((C84-D84)-E84)&lt;=1e-06,"PASS","FAIL")</f>
        <v>PASS</v>
      </c>
    </row>
    <row r="85">
      <c r="A85" t="inlineStr">
        <is>
          <t>demographic_race_logistic</t>
        </is>
      </c>
      <c r="B85" t="inlineStr">
        <is>
          <t>Mexican American</t>
        </is>
      </c>
      <c r="C85" s="6" t="n">
        <v>0.6926062775583113</v>
      </c>
      <c r="D85" s="6" t="n">
        <v>0.6400809668172245</v>
      </c>
      <c r="E85" s="10" t="n">
        <v>0.0525253107410867</v>
      </c>
      <c r="F85" s="10" t="n">
        <v>0.0331564444804582</v>
      </c>
      <c r="G85" s="10" t="n">
        <v>0.0685780817892262</v>
      </c>
      <c r="H85" s="6">
        <f>1-C85</f>
        <v>0.30739372244168905</v>
      </c>
      <c r="I85" s="6">
        <f>1-D85</f>
        <v>0.35991903318277596</v>
      </c>
      <c r="J85" s="20">
        <f>(I85-H85)*100</f>
        <v>5.25253107410869</v>
      </c>
      <c r="K85" t="str">
        <f>IF(ABS((C85-D85)-E85)&lt;=1e-06,"PASS","FAIL")</f>
        <v>PASS</v>
      </c>
    </row>
    <row r="86">
      <c r="A86" t="inlineStr">
        <is>
          <t>demographic_race_logistic</t>
        </is>
      </c>
      <c r="B86" t="inlineStr">
        <is>
          <t>Other Hispanic</t>
        </is>
      </c>
      <c r="C86" s="6" t="n">
        <v>0.7356673507542897</v>
      </c>
      <c r="D86" s="6" t="n">
        <v>0.6482996834730811</v>
      </c>
      <c r="E86" s="10" t="n">
        <v>0.08736766728120859</v>
      </c>
      <c r="F86" s="10" t="n">
        <v>0.0588876619706339</v>
      </c>
      <c r="G86" s="10" t="n">
        <v>0.1104865049255304</v>
      </c>
      <c r="H86" s="6">
        <f>1-C86</f>
        <v>0.26433264924571</v>
      </c>
      <c r="I86" s="6">
        <f>1-D86</f>
        <v>0.351700316526919</v>
      </c>
      <c r="J86" s="20">
        <f>(I86-H86)*100</f>
        <v>8.736766728120903</v>
      </c>
      <c r="K86" t="str">
        <f>IF(ABS((C86-D86)-E86)&lt;=1e-06,"PASS","FAIL")</f>
        <v>PASS</v>
      </c>
    </row>
    <row r="87">
      <c r="A87" t="inlineStr">
        <is>
          <t>demographic_race_logistic</t>
        </is>
      </c>
      <c r="B87" t="inlineStr">
        <is>
          <t>Non-Hispanic Asian</t>
        </is>
      </c>
      <c r="C87" s="6" t="n">
        <v>0.6391893099389563</v>
      </c>
      <c r="D87" s="6" t="n">
        <v>0.5485424691134312</v>
      </c>
      <c r="E87" s="10" t="n">
        <v>0.0906468408255251</v>
      </c>
      <c r="F87" s="10" t="n">
        <v>0.070068078123649</v>
      </c>
      <c r="G87" s="10" t="n">
        <v>0.1143679831203787</v>
      </c>
      <c r="H87" s="6">
        <f>1-C87</f>
        <v>0.36081069006104405</v>
      </c>
      <c r="I87" s="6">
        <f>1-D87</f>
        <v>0.45145753088656904</v>
      </c>
      <c r="J87" s="20">
        <f>(I87-H87)*100</f>
        <v>9.0646840825525</v>
      </c>
      <c r="K87" t="str">
        <f>IF(ABS((C87-D87)-E87)&lt;=1e-06,"PASS","FAIL")</f>
        <v>PASS</v>
      </c>
    </row>
    <row r="88">
      <c r="A88" t="inlineStr">
        <is>
          <t>demographic_race_logistic</t>
        </is>
      </c>
      <c r="B88" t="inlineStr">
        <is>
          <t>Other/Multiracial</t>
        </is>
      </c>
      <c r="C88" s="6" t="n">
        <v>0.5648042997375976</v>
      </c>
      <c r="D88" s="6" t="n">
        <v>0.5960956981548436</v>
      </c>
      <c r="E88" s="10" t="n">
        <v>-0.031291398417246</v>
      </c>
      <c r="F88" s="10" t="n">
        <v>-0.08245730207536731</v>
      </c>
      <c r="G88" s="10" t="n">
        <v>0.0128752191340917</v>
      </c>
      <c r="H88" s="6">
        <f>1-C88</f>
        <v>0.43519570026240195</v>
      </c>
      <c r="I88" s="6">
        <f>1-D88</f>
        <v>0.403904301845156</v>
      </c>
      <c r="J88" s="20">
        <f>(I88-H88)*100</f>
        <v>-3.129139841724593</v>
      </c>
      <c r="K88" t="str">
        <f>IF(ABS((C88-D88)-E88)&lt;=1e-06,"PASS","FAIL")</f>
        <v>PASS</v>
      </c>
    </row>
    <row r="89">
      <c r="A89" t="inlineStr">
        <is>
          <t>demographic_race_logistic</t>
        </is>
      </c>
      <c r="B89" t="inlineStr">
        <is>
          <t>All groups</t>
        </is>
      </c>
      <c r="C89" s="6" t="n">
        <v>0.6152725091564626</v>
      </c>
      <c r="D89" s="6" t="n">
        <v>0.6016983292139892</v>
      </c>
      <c r="E89" s="10" t="n">
        <v>0.0135741799424733</v>
      </c>
      <c r="F89" s="10" t="n">
        <v>-0.0057127478081176</v>
      </c>
      <c r="G89" s="10" t="n">
        <v>0.0317599252560894</v>
      </c>
      <c r="H89" s="6">
        <f>1-C89</f>
        <v>0.38472749084353697</v>
      </c>
      <c r="I89" s="6">
        <f>1-D89</f>
        <v>0.398301670786011</v>
      </c>
      <c r="J89" s="20">
        <f>(I89-H89)*100</f>
        <v>1.3574179942474007</v>
      </c>
      <c r="K89" t="str">
        <f>IF(ABS((C89-D89)-E89)&lt;=1e-06,"PASS","FAIL")</f>
        <v>PASS</v>
      </c>
    </row>
    <row r="90">
      <c r="A90" t="inlineStr">
        <is>
          <t>extended_logistic</t>
        </is>
      </c>
      <c r="B90" t="inlineStr">
        <is>
          <t>Non-Hispanic White</t>
        </is>
      </c>
      <c r="C90" s="6" t="n">
        <v>0.6247874508072426</v>
      </c>
      <c r="D90" s="6" t="n">
        <v>0.6098129065587286</v>
      </c>
      <c r="E90" s="10" t="n">
        <v>0.014974544248514</v>
      </c>
      <c r="F90" s="10" t="n">
        <v>-0.0001470703767085</v>
      </c>
      <c r="G90" s="10" t="n">
        <v>0.0324270655808209</v>
      </c>
      <c r="H90" s="6">
        <f>1-C90</f>
        <v>0.37521254919275704</v>
      </c>
      <c r="I90" s="6">
        <f>1-D90</f>
        <v>0.390187093441271</v>
      </c>
      <c r="J90" s="20">
        <f>(I90-H90)*100</f>
        <v>1.4974544248513966</v>
      </c>
      <c r="K90" t="str">
        <f>IF(ABS((C90-D90)-E90)&lt;=1e-06,"PASS","FAIL")</f>
        <v>PASS</v>
      </c>
    </row>
    <row r="91">
      <c r="A91" t="inlineStr">
        <is>
          <t>extended_logistic</t>
        </is>
      </c>
      <c r="B91" t="inlineStr">
        <is>
          <t>Non-Hispanic Black</t>
        </is>
      </c>
      <c r="C91" s="6" t="n">
        <v>0.7015560015403191</v>
      </c>
      <c r="D91" s="6" t="n">
        <v>0.6748442059786279</v>
      </c>
      <c r="E91" s="10" t="n">
        <v>0.0267117955616911</v>
      </c>
      <c r="F91" s="10" t="n">
        <v>0.0143574832148678</v>
      </c>
      <c r="G91" s="10" t="n">
        <v>0.0390558696856887</v>
      </c>
      <c r="H91" s="6">
        <f>1-C91</f>
        <v>0.29844399845968095</v>
      </c>
      <c r="I91" s="6">
        <f>1-D91</f>
        <v>0.32515579402137196</v>
      </c>
      <c r="J91" s="20">
        <f>(I91-H91)*100</f>
        <v>2.671179556169101</v>
      </c>
      <c r="K91" t="str">
        <f>IF(ABS((C91-D91)-E91)&lt;=1e-06,"PASS","FAIL")</f>
        <v>PASS</v>
      </c>
    </row>
    <row r="92">
      <c r="A92" t="inlineStr">
        <is>
          <t>extended_logistic</t>
        </is>
      </c>
      <c r="B92" t="inlineStr">
        <is>
          <t>Mexican American</t>
        </is>
      </c>
      <c r="C92" s="6" t="n">
        <v>0.7733568791027648</v>
      </c>
      <c r="D92" s="6" t="n">
        <v>0.7401597580558305</v>
      </c>
      <c r="E92" s="10" t="n">
        <v>0.0331971210469344</v>
      </c>
      <c r="F92" s="10" t="n">
        <v>-6.239902667768413e-05</v>
      </c>
      <c r="G92" s="10" t="n">
        <v>0.0741788142447288</v>
      </c>
      <c r="H92" s="6">
        <f>1-C92</f>
        <v>0.22664312089723504</v>
      </c>
      <c r="I92" s="6">
        <f>1-D92</f>
        <v>0.25984024194417</v>
      </c>
      <c r="J92" s="20">
        <f>(I92-H92)*100</f>
        <v>3.319712104693495</v>
      </c>
      <c r="K92" t="str">
        <f>IF(ABS((C92-D92)-E92)&lt;=1e-06,"PASS","FAIL")</f>
        <v>PASS</v>
      </c>
    </row>
    <row r="93">
      <c r="A93" t="inlineStr">
        <is>
          <t>extended_logistic</t>
        </is>
      </c>
      <c r="B93" t="inlineStr">
        <is>
          <t>Other Hispanic</t>
        </is>
      </c>
      <c r="C93" s="6" t="n">
        <v>0.7731902781019484</v>
      </c>
      <c r="D93" s="6" t="n">
        <v>0.7573124594721522</v>
      </c>
      <c r="E93" s="10" t="n">
        <v>0.0158778186297962</v>
      </c>
      <c r="F93" s="10" t="n">
        <v>-0.005490807956883</v>
      </c>
      <c r="G93" s="10" t="n">
        <v>0.0349196986788004</v>
      </c>
      <c r="H93" s="6">
        <f>1-C93</f>
        <v>0.22680972189805204</v>
      </c>
      <c r="I93" s="6">
        <f>1-D93</f>
        <v>0.24268754052784802</v>
      </c>
      <c r="J93" s="20">
        <f>(I93-H93)*100</f>
        <v>1.5877818629795981</v>
      </c>
      <c r="K93" t="str">
        <f>IF(ABS((C93-D93)-E93)&lt;=1e-06,"PASS","FAIL")</f>
        <v>PASS</v>
      </c>
    </row>
    <row r="94">
      <c r="A94" t="inlineStr">
        <is>
          <t>extended_logistic</t>
        </is>
      </c>
      <c r="B94" t="inlineStr">
        <is>
          <t>Non-Hispanic Asian</t>
        </is>
      </c>
      <c r="C94" s="6" t="n">
        <v>0.8136970254526583</v>
      </c>
      <c r="D94" s="6" t="n">
        <v>0.8110377703121765</v>
      </c>
      <c r="E94" s="10" t="n">
        <v>0.0026592551404818</v>
      </c>
      <c r="F94" s="10" t="n">
        <v>-0.009544767581982701</v>
      </c>
      <c r="G94" s="10" t="n">
        <v>0.0173560913865784</v>
      </c>
      <c r="H94" s="6">
        <f>1-C94</f>
        <v>0.18630297454734202</v>
      </c>
      <c r="I94" s="6">
        <f>1-D94</f>
        <v>0.18896222968782395</v>
      </c>
      <c r="J94" s="20">
        <f>(I94-H94)*100</f>
        <v>0.2659255140481931</v>
      </c>
      <c r="K94" t="str">
        <f>IF(ABS((C94-D94)-E94)&lt;=1e-06,"PASS","FAIL")</f>
        <v>PASS</v>
      </c>
    </row>
    <row r="95">
      <c r="A95" t="inlineStr">
        <is>
          <t>extended_logistic</t>
        </is>
      </c>
      <c r="B95" t="inlineStr">
        <is>
          <t>Other/Multiracial</t>
        </is>
      </c>
      <c r="C95" s="6" t="n">
        <v>0.6923145441959054</v>
      </c>
      <c r="D95" s="6" t="n">
        <v>0.7144460481909201</v>
      </c>
      <c r="E95" s="10" t="n">
        <v>-0.0221315039950146</v>
      </c>
      <c r="F95" s="10" t="n">
        <v>-0.1066526725179821</v>
      </c>
      <c r="G95" s="10" t="n">
        <v>0.06358110328082089</v>
      </c>
      <c r="H95" s="6">
        <f>1-C95</f>
        <v>0.307685455804095</v>
      </c>
      <c r="I95" s="6">
        <f>1-D95</f>
        <v>0.28555395180908005</v>
      </c>
      <c r="J95" s="20">
        <f>(I95-H95)*100</f>
        <v>-2.2131503995014956</v>
      </c>
      <c r="K95" t="str">
        <f>IF(ABS((C95-D95)-E95)&lt;=1e-06,"PASS","FAIL")</f>
        <v>PASS</v>
      </c>
    </row>
    <row r="96">
      <c r="A96" t="inlineStr">
        <is>
          <t>extended_logistic</t>
        </is>
      </c>
      <c r="B96" t="inlineStr">
        <is>
          <t>All groups</t>
        </is>
      </c>
      <c r="C96" s="6" t="n">
        <v>0.6719519409232029</v>
      </c>
      <c r="D96" s="6" t="n">
        <v>0.6563673514126072</v>
      </c>
      <c r="E96" s="10" t="n">
        <v>0.0155845895105957</v>
      </c>
      <c r="F96" s="10" t="n">
        <v>0.0018659683371612</v>
      </c>
      <c r="G96" s="10" t="n">
        <v>0.0312754335986866</v>
      </c>
      <c r="H96" s="6">
        <f>1-C96</f>
        <v>0.328048059076797</v>
      </c>
      <c r="I96" s="6">
        <f>1-D96</f>
        <v>0.34363264858739295</v>
      </c>
      <c r="J96" s="20">
        <f>(I96-H96)*100</f>
        <v>1.5584589510595936</v>
      </c>
      <c r="K96" t="str">
        <f>IF(ABS((C96-D96)-E96)&lt;=1e-06,"PASS","FAIL")</f>
        <v>PASS</v>
      </c>
    </row>
    <row r="97">
      <c r="A97" t="inlineStr">
        <is>
          <t>extended_boosting</t>
        </is>
      </c>
      <c r="B97" t="inlineStr">
        <is>
          <t>Non-Hispanic White</t>
        </is>
      </c>
      <c r="C97" s="6" t="n">
        <v>0.6146161805359609</v>
      </c>
      <c r="D97" s="6" t="n">
        <v>0.6458870741974456</v>
      </c>
      <c r="E97" s="10" t="n">
        <v>-0.0312708936614847</v>
      </c>
      <c r="F97" s="10" t="n">
        <v>-0.0464799781766238</v>
      </c>
      <c r="G97" s="10" t="n">
        <v>-0.0143076671384781</v>
      </c>
      <c r="H97" s="6">
        <f>1-C97</f>
        <v>0.385383819464039</v>
      </c>
      <c r="I97" s="6">
        <f>1-D97</f>
        <v>0.35411292580255405</v>
      </c>
      <c r="J97" s="20">
        <f>(I97-H97)*100</f>
        <v>-3.1270893661484944</v>
      </c>
      <c r="K97" t="str">
        <f>IF(ABS((C97-D97)-E97)&lt;=1e-06,"PASS","FAIL")</f>
        <v>PASS</v>
      </c>
    </row>
    <row r="98">
      <c r="A98" t="inlineStr">
        <is>
          <t>extended_boosting</t>
        </is>
      </c>
      <c r="B98" t="inlineStr">
        <is>
          <t>Non-Hispanic Black</t>
        </is>
      </c>
      <c r="C98" s="6" t="n">
        <v>0.6970539230743716</v>
      </c>
      <c r="D98" s="6" t="n">
        <v>0.7035304155532274</v>
      </c>
      <c r="E98" s="10" t="n">
        <v>-0.0064764924788557</v>
      </c>
      <c r="F98" s="10" t="n">
        <v>-0.0327150225268389</v>
      </c>
      <c r="G98" s="10" t="n">
        <v>0.0237982671096186</v>
      </c>
      <c r="H98" s="6">
        <f>1-C98</f>
        <v>0.302946076925628</v>
      </c>
      <c r="I98" s="6">
        <f>1-D98</f>
        <v>0.29646958444677296</v>
      </c>
      <c r="J98" s="20">
        <f>(I98-H98)*100</f>
        <v>-0.6476492478855067</v>
      </c>
      <c r="K98" t="str">
        <f>IF(ABS((C98-D98)-E98)&lt;=1e-06,"PASS","FAIL")</f>
        <v>PASS</v>
      </c>
    </row>
    <row r="99">
      <c r="A99" t="inlineStr">
        <is>
          <t>extended_boosting</t>
        </is>
      </c>
      <c r="B99" t="inlineStr">
        <is>
          <t>Mexican American</t>
        </is>
      </c>
      <c r="C99" s="6" t="n">
        <v>0.7707579950592779</v>
      </c>
      <c r="D99" s="6" t="n">
        <v>0.7752241150821709</v>
      </c>
      <c r="E99" s="10" t="n">
        <v>-0.004466120022893</v>
      </c>
      <c r="F99" s="10" t="n">
        <v>-0.0246577951714308</v>
      </c>
      <c r="G99" s="10" t="n">
        <v>0.0090606592931136</v>
      </c>
      <c r="H99" s="6">
        <f>1-C99</f>
        <v>0.229242004940722</v>
      </c>
      <c r="I99" s="6">
        <f>1-D99</f>
        <v>0.22477588491782896</v>
      </c>
      <c r="J99" s="20">
        <f>(I99-H99)*100</f>
        <v>-0.44661200228930387</v>
      </c>
      <c r="K99" t="str">
        <f>IF(ABS((C99-D99)-E99)&lt;=1e-06,"PASS","FAIL")</f>
        <v>PASS</v>
      </c>
    </row>
    <row r="100">
      <c r="A100" t="inlineStr">
        <is>
          <t>extended_boosting</t>
        </is>
      </c>
      <c r="B100" t="inlineStr">
        <is>
          <t>Other Hispanic</t>
        </is>
      </c>
      <c r="C100" s="6" t="n">
        <v>0.7730619397066679</v>
      </c>
      <c r="D100" s="6" t="n">
        <v>0.7686186750611782</v>
      </c>
      <c r="E100" s="10" t="n">
        <v>0.0044432646454897</v>
      </c>
      <c r="F100" s="10" t="n">
        <v>-0.0195441643530569</v>
      </c>
      <c r="G100" s="10" t="n">
        <v>0.0252112882514115</v>
      </c>
      <c r="H100" s="6">
        <f>1-C100</f>
        <v>0.22693806029333197</v>
      </c>
      <c r="I100" s="6">
        <f>1-D100</f>
        <v>0.23138132493882202</v>
      </c>
      <c r="J100" s="20">
        <f>(I100-H100)*100</f>
        <v>0.44432646454900526</v>
      </c>
      <c r="K100" t="str">
        <f>IF(ABS((C100-D100)-E100)&lt;=1e-06,"PASS","FAIL")</f>
        <v>PASS</v>
      </c>
    </row>
    <row r="101">
      <c r="A101" t="inlineStr">
        <is>
          <t>extended_boosting</t>
        </is>
      </c>
      <c r="B101" t="inlineStr">
        <is>
          <t>Non-Hispanic Asian</t>
        </is>
      </c>
      <c r="C101" s="6" t="n">
        <v>0.8141151232450227</v>
      </c>
      <c r="D101" s="6" t="n">
        <v>0.8319941561565342</v>
      </c>
      <c r="E101" s="10" t="n">
        <v>-0.0178790329115114</v>
      </c>
      <c r="F101" s="10" t="n">
        <v>-0.0367439177427897</v>
      </c>
      <c r="G101" s="10" t="n">
        <v>-0.0004589894378389</v>
      </c>
      <c r="H101" s="6">
        <f>1-C101</f>
        <v>0.185884876754977</v>
      </c>
      <c r="I101" s="6">
        <f>1-D101</f>
        <v>0.16800584384346595</v>
      </c>
      <c r="J101" s="20">
        <f>(I101-H101)*100</f>
        <v>-1.787903291151105</v>
      </c>
      <c r="K101" t="str">
        <f>IF(ABS((C101-D101)-E101)&lt;=1e-06,"PASS","FAIL")</f>
        <v>PASS</v>
      </c>
    </row>
    <row r="102">
      <c r="A102" t="inlineStr">
        <is>
          <t>extended_boosting</t>
        </is>
      </c>
      <c r="B102" t="inlineStr">
        <is>
          <t>Other/Multiracial</t>
        </is>
      </c>
      <c r="C102" s="6" t="n">
        <v>0.7266151852690433</v>
      </c>
      <c r="D102" s="6" t="n">
        <v>0.7494577689682458</v>
      </c>
      <c r="E102" s="10" t="n">
        <v>-0.0228425836992024</v>
      </c>
      <c r="F102" s="10" t="n">
        <v>-0.0760371103822531</v>
      </c>
      <c r="G102" s="10" t="n">
        <v>0.0369217475934384</v>
      </c>
      <c r="H102" s="6">
        <f>1-C102</f>
        <v>0.273384814730957</v>
      </c>
      <c r="I102" s="6">
        <f>1-D102</f>
        <v>0.250542231031754</v>
      </c>
      <c r="J102" s="20">
        <f>(I102-H102)*100</f>
        <v>-2.2842583699203</v>
      </c>
      <c r="K102" t="str">
        <f>IF(ABS((C102-D102)-E102)&lt;=1e-06,"PASS","FAIL")</f>
        <v>PASS</v>
      </c>
    </row>
    <row r="103">
      <c r="A103" t="inlineStr">
        <is>
          <t>extended_boosting</t>
        </is>
      </c>
      <c r="B103" t="inlineStr">
        <is>
          <t>All groups</t>
        </is>
      </c>
      <c r="C103" s="6" t="n">
        <v>0.666652248607307</v>
      </c>
      <c r="D103" s="6" t="n">
        <v>0.6888968102013272</v>
      </c>
      <c r="E103" s="10" t="n">
        <v>-0.0222445615940202</v>
      </c>
      <c r="F103" s="10" t="n">
        <v>-0.0370680813010204</v>
      </c>
      <c r="G103" s="10" t="n">
        <v>-0.0084033658007041</v>
      </c>
      <c r="H103" s="6">
        <f>1-C103</f>
        <v>0.333347751392693</v>
      </c>
      <c r="I103" s="6">
        <f>1-D103</f>
        <v>0.311103189798673</v>
      </c>
      <c r="J103" s="20">
        <f>(I103-H103)*100</f>
        <v>-2.2244561594019996</v>
      </c>
      <c r="K103" t="str">
        <f>IF(ABS((C103-D103)-E103)&lt;=1e-06,"PASS","FAIL")</f>
        <v>PASS</v>
      </c>
    </row>
    <row r="105">
      <c r="A105" s="4" t="inlineStr">
        <is>
          <t>Extra false positives per 100 is the change in false positives per 100 HbA1c-negative people when the model is trained on the HbA1c label instead of the diagnosed label. Positive means more false positives.</t>
        </is>
      </c>
    </row>
  </sheetData>
  <conditionalFormatting sqref="A1:R400">
    <cfRule type="cellIs" priority="1" operator="equal" dxfId="0">
      <formula>"FAIL"</formula>
    </cfRule>
    <cfRule type="cellIs" priority="2" operator="equal" dxfId="0">
      <formula>"REVIEW"</formula>
    </cfRule>
    <cfRule type="cellIs" priority="3" operator="equal" dxfId="1">
      <formula>"PASS"</formula>
    </cfRule>
    <cfRule type="cellIs" priority="4" operator="equal" dxfId="1">
      <formula>"ALL CHECKS PASS"</formula>
    </cfRule>
    <cfRule type="cellIs" priority="5" operator="equal" dxfId="2">
      <formula>"SMALL SAMPLE"</formula>
    </cfRule>
    <cfRule type="expression" priority="6" dxfId="2">
      <formula>LEFT(A1,11)="Exploratory"</formula>
    </cfRule>
  </conditionalFormatting>
  <pageMargins left="0.75" right="0.75" top="1" bottom="1" header="0.5" footer="0.5"/>
  <pageSetup orientation="landscape" fitToHeight="0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66" customWidth="1" min="4" max="4"/>
    <col width="22" customWidth="1" min="5" max="5"/>
    <col width="46" customWidth="1" min="6" max="6"/>
    <col width="21" customWidth="1" min="7" max="7"/>
    <col width="19" customWidth="1" min="8" max="8"/>
  </cols>
  <sheetData>
    <row r="1">
      <c r="A1" s="1" t="inlineStr">
        <is>
          <t>NHANES 2017-2018 public-use survey data. Descriptive care-gap monitoring, not a certified quality measure, not clinical guidance, and no respondent-level rows.</t>
        </is>
      </c>
    </row>
    <row r="2">
      <c r="A2" s="2" t="inlineStr">
        <is>
          <t>Data quality: pipeline checks, missingness, duplicates and source file hashes</t>
        </is>
      </c>
    </row>
    <row r="3">
      <c r="A3" s="3" t="inlineStr">
        <is>
          <t>Checks come from data_quality.csv (SQL suites run on every build). Source hashes come from data/data_manifest.json.</t>
        </is>
      </c>
    </row>
    <row r="5">
      <c r="A5" s="5" t="inlineStr">
        <is>
          <t>suite</t>
        </is>
      </c>
      <c r="B5" s="5" t="inlineStr">
        <is>
          <t>check</t>
        </is>
      </c>
      <c r="C5" s="5" t="inlineStr">
        <is>
          <t>status</t>
        </is>
      </c>
      <c r="D5" s="5" t="inlineStr">
        <is>
          <t>detail</t>
        </is>
      </c>
    </row>
    <row r="6">
      <c r="A6" t="inlineStr">
        <is>
          <t>data_quality</t>
        </is>
      </c>
      <c r="B6" t="inlineStr">
        <is>
          <t>seqn_unique</t>
        </is>
      </c>
      <c r="C6" t="inlineStr">
        <is>
          <t>PASS</t>
        </is>
      </c>
      <c r="D6" t="inlineStr">
        <is>
          <t>rows=5873 distinct=5873</t>
        </is>
      </c>
    </row>
    <row r="7">
      <c r="A7" t="inlineStr">
        <is>
          <t>data_quality</t>
        </is>
      </c>
      <c r="B7" t="inlineStr">
        <is>
          <t>weights_positive</t>
        </is>
      </c>
      <c r="C7" t="inlineStr">
        <is>
          <t>PASS</t>
        </is>
      </c>
      <c r="D7" t="inlineStr">
        <is>
          <t>min weight=3534.0362393758346</t>
        </is>
      </c>
    </row>
    <row r="8">
      <c r="A8" t="inlineStr">
        <is>
          <t>data_quality</t>
        </is>
      </c>
      <c r="B8" t="inlineStr">
        <is>
          <t>psu_masked_values</t>
        </is>
      </c>
      <c r="C8" t="inlineStr">
        <is>
          <t>PASS</t>
        </is>
      </c>
      <c r="D8" t="inlineStr">
        <is>
          <t>rows with psu not in (1,2)=0</t>
        </is>
      </c>
    </row>
    <row r="9">
      <c r="A9" t="inlineStr">
        <is>
          <t>data_quality</t>
        </is>
      </c>
      <c r="B9" t="inlineStr">
        <is>
          <t>no_lonely_psu_strata</t>
        </is>
      </c>
      <c r="C9" t="inlineStr">
        <is>
          <t>PASS</t>
        </is>
      </c>
      <c r="D9" t="inlineStr">
        <is>
          <t>min PSUs per stratum=2</t>
        </is>
      </c>
    </row>
    <row r="10">
      <c r="A10" t="inlineStr">
        <is>
          <t>data_quality</t>
        </is>
      </c>
      <c r="B10" t="inlineStr">
        <is>
          <t>race_categories_allowed</t>
        </is>
      </c>
      <c r="C10" t="inlineStr">
        <is>
          <t>PASS</t>
        </is>
      </c>
      <c r="D10" t="inlineStr">
        <is>
          <t>unexpected categories=0</t>
        </is>
      </c>
    </row>
    <row r="11">
      <c r="A11" t="inlineStr">
        <is>
          <t>data_quality</t>
        </is>
      </c>
      <c r="B11" t="inlineStr">
        <is>
          <t>diagnosed_is_binary</t>
        </is>
      </c>
      <c r="C11" t="inlineStr">
        <is>
          <t>PASS</t>
        </is>
      </c>
      <c r="D11" t="inlineStr">
        <is>
          <t>non-binary rows=0</t>
        </is>
      </c>
    </row>
    <row r="12">
      <c r="A12" t="inlineStr">
        <is>
          <t>data_quality</t>
        </is>
      </c>
      <c r="B12" t="inlineStr">
        <is>
          <t>hba1c_present_and_plausible</t>
        </is>
      </c>
      <c r="C12" t="inlineStr">
        <is>
          <t>PASS</t>
        </is>
      </c>
      <c r="D12" t="inlineStr">
        <is>
          <t>rows with hba1c null or outside 3..20=0</t>
        </is>
      </c>
    </row>
    <row r="13">
      <c r="A13" t="inlineStr">
        <is>
          <t>data_quality</t>
        </is>
      </c>
      <c r="B13" t="inlineStr">
        <is>
          <t>hba1c_positive_group_present</t>
        </is>
      </c>
      <c r="C13" t="inlineStr">
        <is>
          <t>PASS</t>
        </is>
      </c>
      <c r="D13" t="inlineStr">
        <is>
          <t>hba1c positives=711</t>
        </is>
      </c>
    </row>
    <row r="14">
      <c r="A14" t="inlineStr">
        <is>
          <t>data_quality</t>
        </is>
      </c>
      <c r="B14" t="inlineStr">
        <is>
          <t>age_in_survey_range</t>
        </is>
      </c>
      <c r="C14" t="inlineStr">
        <is>
          <t>PASS</t>
        </is>
      </c>
      <c r="D14" t="inlineStr">
        <is>
          <t>rows outside 12..80=0</t>
        </is>
      </c>
    </row>
    <row r="15">
      <c r="A15" t="inlineStr">
        <is>
          <t>data_quality</t>
        </is>
      </c>
      <c r="B15" t="inlineStr">
        <is>
          <t>missingness_reported</t>
        </is>
      </c>
      <c r="C15" t="inlineStr">
        <is>
          <t>PASS</t>
        </is>
      </c>
      <c r="D15" t="inlineStr">
        <is>
          <t>bmi=92 insured=14 routine_care=2 family_history=1086</t>
        </is>
      </c>
    </row>
    <row r="16">
      <c r="A16" t="inlineStr">
        <is>
          <t>cohort_validation</t>
        </is>
      </c>
      <c r="B16" t="inlineStr">
        <is>
          <t>attrition_never_increases</t>
        </is>
      </c>
      <c r="C16" t="inlineStr">
        <is>
          <t>PASS</t>
        </is>
      </c>
      <c r="D16" t="inlineStr">
        <is>
          <t>steps that add rows=0</t>
        </is>
      </c>
    </row>
    <row r="17">
      <c r="A17" t="inlineStr">
        <is>
          <t>cohort_validation</t>
        </is>
      </c>
      <c r="B17" t="inlineStr">
        <is>
          <t>attrition_last_step_equals_cohort</t>
        </is>
      </c>
      <c r="C17" t="inlineStr">
        <is>
          <t>PASS</t>
        </is>
      </c>
      <c r="D17" t="inlineStr">
        <is>
          <t>attrition=5873 cohort=5873</t>
        </is>
      </c>
    </row>
    <row r="18">
      <c r="A18" t="inlineStr">
        <is>
          <t>cohort_validation</t>
        </is>
      </c>
      <c r="B18" t="inlineStr">
        <is>
          <t>independent_recount_matches</t>
        </is>
      </c>
      <c r="C18" t="inlineStr">
        <is>
          <t>PASS</t>
        </is>
      </c>
      <c r="D18" t="inlineStr">
        <is>
          <t>recount vs cohort</t>
        </is>
      </c>
    </row>
    <row r="19">
      <c r="A19" t="inlineStr">
        <is>
          <t>cohort_validation</t>
        </is>
      </c>
      <c r="B19" t="inlineStr">
        <is>
          <t>first_step_equals_demo_rows</t>
        </is>
      </c>
      <c r="C19" t="inlineStr">
        <is>
          <t>PASS</t>
        </is>
      </c>
      <c r="D19" t="inlineStr">
        <is>
          <t>demo rows=9254</t>
        </is>
      </c>
    </row>
    <row r="20">
      <c r="A20" s="16" t="inlineStr">
        <is>
          <t>Checks passing</t>
        </is>
      </c>
      <c r="C20" t="str">
        <f>COUNTIF(C6:C19,"PASS")&amp;" of "&amp;ROWS(C6:C19)</f>
        <v>14 of 14</v>
      </c>
    </row>
    <row r="23">
      <c r="A23" s="11" t="inlineStr">
        <is>
          <t>Missingness by group and input variable (refused, do not know, not asked or blank)</t>
        </is>
      </c>
    </row>
    <row r="24">
      <c r="A24" s="5" t="inlineStr">
        <is>
          <t>group</t>
        </is>
      </c>
      <c r="B24" s="5" t="inlineStr">
        <is>
          <t>variable</t>
        </is>
      </c>
      <c r="C24" s="5" t="inlineStr">
        <is>
          <t>respondents</t>
        </is>
      </c>
      <c r="D24" s="5" t="inlineStr">
        <is>
          <t>missing</t>
        </is>
      </c>
      <c r="E24" s="5" t="inlineStr">
        <is>
          <t>missing_share</t>
        </is>
      </c>
      <c r="F24" s="5" t="inlineStr">
        <is>
          <t>missing_share_check</t>
        </is>
      </c>
      <c r="G24" s="5" t="inlineStr">
        <is>
          <t>missing_reconciles</t>
        </is>
      </c>
    </row>
    <row r="25">
      <c r="A25" t="inlineStr">
        <is>
          <t>Non-Hispanic White</t>
        </is>
      </c>
      <c r="B25" t="inlineStr">
        <is>
          <t>bmi</t>
        </is>
      </c>
      <c r="C25" s="9" t="n">
        <v>2022</v>
      </c>
      <c r="D25" s="9" t="n">
        <v>29</v>
      </c>
      <c r="E25" s="6" t="n">
        <v>0.0143422354104846</v>
      </c>
      <c r="F25" s="6">
        <f>D25/C25</f>
        <v>0.014342235410484669</v>
      </c>
      <c r="G25" t="str">
        <f>IF(ABS(F25-E25)&lt;=1e-06,"PASS","FAIL")</f>
        <v>PASS</v>
      </c>
    </row>
    <row r="26">
      <c r="A26" t="inlineStr">
        <is>
          <t>Non-Hispanic White</t>
        </is>
      </c>
      <c r="B26" t="inlineStr">
        <is>
          <t>family_history</t>
        </is>
      </c>
      <c r="C26" s="9" t="n">
        <v>2022</v>
      </c>
      <c r="D26" s="9" t="n">
        <v>341</v>
      </c>
      <c r="E26" s="6" t="n">
        <v>0.16864490603363</v>
      </c>
      <c r="F26" s="6">
        <f>D26/C26</f>
        <v>0.16864490603363008</v>
      </c>
      <c r="G26" t="str">
        <f>IF(ABS(F26-E26)&lt;=1e-06,"PASS","FAIL")</f>
        <v>PASS</v>
      </c>
    </row>
    <row r="27">
      <c r="A27" t="inlineStr">
        <is>
          <t>Non-Hispanic White</t>
        </is>
      </c>
      <c r="B27" t="inlineStr">
        <is>
          <t>insured</t>
        </is>
      </c>
      <c r="C27" s="9" t="n">
        <v>2022</v>
      </c>
      <c r="D27" s="9" t="n">
        <v>0</v>
      </c>
      <c r="E27" s="6" t="n">
        <v>0</v>
      </c>
      <c r="F27" s="6">
        <f>D27/C27</f>
        <v>0.0</v>
      </c>
      <c r="G27" t="str">
        <f>IF(ABS(F27-E27)&lt;=1e-06,"PASS","FAIL")</f>
        <v>PASS</v>
      </c>
    </row>
    <row r="28">
      <c r="A28" t="inlineStr">
        <is>
          <t>Non-Hispanic White</t>
        </is>
      </c>
      <c r="B28" t="inlineStr">
        <is>
          <t>routine_care</t>
        </is>
      </c>
      <c r="C28" s="9" t="n">
        <v>2022</v>
      </c>
      <c r="D28" s="9" t="n">
        <v>1</v>
      </c>
      <c r="E28" s="6" t="n">
        <v>0.0004945598417408</v>
      </c>
      <c r="F28" s="6">
        <f>D28/C28</f>
        <v>0.0004945598417408506</v>
      </c>
      <c r="G28" t="str">
        <f>IF(ABS(F28-E28)&lt;=1e-06,"PASS","FAIL")</f>
        <v>PASS</v>
      </c>
    </row>
    <row r="29">
      <c r="A29" t="inlineStr">
        <is>
          <t>Non-Hispanic Black</t>
        </is>
      </c>
      <c r="B29" t="inlineStr">
        <is>
          <t>bmi</t>
        </is>
      </c>
      <c r="C29" s="9" t="n">
        <v>1312</v>
      </c>
      <c r="D29" s="9" t="n">
        <v>22</v>
      </c>
      <c r="E29" s="6" t="n">
        <v>0.0167682926829268</v>
      </c>
      <c r="F29" s="6">
        <f>D29/C29</f>
        <v>0.01676829268292683</v>
      </c>
      <c r="G29" t="str">
        <f>IF(ABS(F29-E29)&lt;=1e-06,"PASS","FAIL")</f>
        <v>PASS</v>
      </c>
    </row>
    <row r="30">
      <c r="A30" t="inlineStr">
        <is>
          <t>Non-Hispanic Black</t>
        </is>
      </c>
      <c r="B30" t="inlineStr">
        <is>
          <t>family_history</t>
        </is>
      </c>
      <c r="C30" s="9" t="n">
        <v>1312</v>
      </c>
      <c r="D30" s="9" t="n">
        <v>225</v>
      </c>
      <c r="E30" s="6" t="n">
        <v>0.1714939024390244</v>
      </c>
      <c r="F30" s="6">
        <f>D30/C30</f>
        <v>0.1714939024390244</v>
      </c>
      <c r="G30" t="str">
        <f>IF(ABS(F30-E30)&lt;=1e-06,"PASS","FAIL")</f>
        <v>PASS</v>
      </c>
    </row>
    <row r="31">
      <c r="A31" t="inlineStr">
        <is>
          <t>Non-Hispanic Black</t>
        </is>
      </c>
      <c r="B31" t="inlineStr">
        <is>
          <t>insured</t>
        </is>
      </c>
      <c r="C31" s="9" t="n">
        <v>1312</v>
      </c>
      <c r="D31" s="9" t="n">
        <v>5</v>
      </c>
      <c r="E31" s="6" t="n">
        <v>0.003810975609756</v>
      </c>
      <c r="F31" s="6">
        <f>D31/C31</f>
        <v>0.0038109756097560975</v>
      </c>
      <c r="G31" t="str">
        <f>IF(ABS(F31-E31)&lt;=1e-06,"PASS","FAIL")</f>
        <v>PASS</v>
      </c>
    </row>
    <row r="32">
      <c r="A32" t="inlineStr">
        <is>
          <t>Non-Hispanic Black</t>
        </is>
      </c>
      <c r="B32" t="inlineStr">
        <is>
          <t>routine_care</t>
        </is>
      </c>
      <c r="C32" s="9" t="n">
        <v>1312</v>
      </c>
      <c r="D32" s="9" t="n">
        <v>0</v>
      </c>
      <c r="E32" s="6" t="n">
        <v>0</v>
      </c>
      <c r="F32" s="6">
        <f>D32/C32</f>
        <v>0.0</v>
      </c>
      <c r="G32" t="str">
        <f>IF(ABS(F32-E32)&lt;=1e-06,"PASS","FAIL")</f>
        <v>PASS</v>
      </c>
    </row>
    <row r="33">
      <c r="A33" t="inlineStr">
        <is>
          <t>Mexican American</t>
        </is>
      </c>
      <c r="B33" t="inlineStr">
        <is>
          <t>bmi</t>
        </is>
      </c>
      <c r="C33" s="9" t="n">
        <v>856</v>
      </c>
      <c r="D33" s="9" t="n">
        <v>13</v>
      </c>
      <c r="E33" s="6" t="n">
        <v>0.0151869158878504</v>
      </c>
      <c r="F33" s="6">
        <f>D33/C33</f>
        <v>0.015186915887850467</v>
      </c>
      <c r="G33" t="str">
        <f>IF(ABS(F33-E33)&lt;=1e-06,"PASS","FAIL")</f>
        <v>PASS</v>
      </c>
    </row>
    <row r="34">
      <c r="A34" t="inlineStr">
        <is>
          <t>Mexican American</t>
        </is>
      </c>
      <c r="B34" t="inlineStr">
        <is>
          <t>family_history</t>
        </is>
      </c>
      <c r="C34" s="9" t="n">
        <v>856</v>
      </c>
      <c r="D34" s="9" t="n">
        <v>196</v>
      </c>
      <c r="E34" s="6" t="n">
        <v>0.2289719626168224</v>
      </c>
      <c r="F34" s="6">
        <f>D34/C34</f>
        <v>0.22897196261682243</v>
      </c>
      <c r="G34" t="str">
        <f>IF(ABS(F34-E34)&lt;=1e-06,"PASS","FAIL")</f>
        <v>PASS</v>
      </c>
    </row>
    <row r="35">
      <c r="A35" t="inlineStr">
        <is>
          <t>Mexican American</t>
        </is>
      </c>
      <c r="B35" t="inlineStr">
        <is>
          <t>insured</t>
        </is>
      </c>
      <c r="C35" s="9" t="n">
        <v>856</v>
      </c>
      <c r="D35" s="9" t="n">
        <v>7</v>
      </c>
      <c r="E35" s="6" t="n">
        <v>0.0081775700934579</v>
      </c>
      <c r="F35" s="6">
        <f>D35/C35</f>
        <v>0.008177570093457943</v>
      </c>
      <c r="G35" t="str">
        <f>IF(ABS(F35-E35)&lt;=1e-06,"PASS","FAIL")</f>
        <v>PASS</v>
      </c>
    </row>
    <row r="36">
      <c r="A36" t="inlineStr">
        <is>
          <t>Mexican American</t>
        </is>
      </c>
      <c r="B36" t="inlineStr">
        <is>
          <t>routine_care</t>
        </is>
      </c>
      <c r="C36" s="9" t="n">
        <v>856</v>
      </c>
      <c r="D36" s="9" t="n">
        <v>0</v>
      </c>
      <c r="E36" s="6" t="n">
        <v>0</v>
      </c>
      <c r="F36" s="6">
        <f>D36/C36</f>
        <v>0.0</v>
      </c>
      <c r="G36" t="str">
        <f>IF(ABS(F36-E36)&lt;=1e-06,"PASS","FAIL")</f>
        <v>PASS</v>
      </c>
    </row>
    <row r="37">
      <c r="A37" t="inlineStr">
        <is>
          <t>Other Hispanic</t>
        </is>
      </c>
      <c r="B37" t="inlineStr">
        <is>
          <t>bmi</t>
        </is>
      </c>
      <c r="C37" s="9" t="n">
        <v>546</v>
      </c>
      <c r="D37" s="9" t="n">
        <v>12</v>
      </c>
      <c r="E37" s="6" t="n">
        <v>0.0219780219780219</v>
      </c>
      <c r="F37" s="6">
        <f>D37/C37</f>
        <v>0.02197802197802198</v>
      </c>
      <c r="G37" t="str">
        <f>IF(ABS(F37-E37)&lt;=1e-06,"PASS","FAIL")</f>
        <v>PASS</v>
      </c>
    </row>
    <row r="38">
      <c r="A38" t="inlineStr">
        <is>
          <t>Other Hispanic</t>
        </is>
      </c>
      <c r="B38" t="inlineStr">
        <is>
          <t>family_history</t>
        </is>
      </c>
      <c r="C38" s="9" t="n">
        <v>546</v>
      </c>
      <c r="D38" s="9" t="n">
        <v>82</v>
      </c>
      <c r="E38" s="6" t="n">
        <v>0.1501831501831501</v>
      </c>
      <c r="F38" s="6">
        <f>D38/C38</f>
        <v>0.15018315018315018</v>
      </c>
      <c r="G38" t="str">
        <f>IF(ABS(F38-E38)&lt;=1e-06,"PASS","FAIL")</f>
        <v>PASS</v>
      </c>
    </row>
    <row r="39">
      <c r="A39" t="inlineStr">
        <is>
          <t>Other Hispanic</t>
        </is>
      </c>
      <c r="B39" t="inlineStr">
        <is>
          <t>insured</t>
        </is>
      </c>
      <c r="C39" s="9" t="n">
        <v>546</v>
      </c>
      <c r="D39" s="9" t="n">
        <v>0</v>
      </c>
      <c r="E39" s="6" t="n">
        <v>0</v>
      </c>
      <c r="F39" s="6">
        <f>D39/C39</f>
        <v>0.0</v>
      </c>
      <c r="G39" t="str">
        <f>IF(ABS(F39-E39)&lt;=1e-06,"PASS","FAIL")</f>
        <v>PASS</v>
      </c>
    </row>
    <row r="40">
      <c r="A40" t="inlineStr">
        <is>
          <t>Other Hispanic</t>
        </is>
      </c>
      <c r="B40" t="inlineStr">
        <is>
          <t>routine_care</t>
        </is>
      </c>
      <c r="C40" s="9" t="n">
        <v>546</v>
      </c>
      <c r="D40" s="9" t="n">
        <v>0</v>
      </c>
      <c r="E40" s="6" t="n">
        <v>0</v>
      </c>
      <c r="F40" s="6">
        <f>D40/C40</f>
        <v>0.0</v>
      </c>
      <c r="G40" t="str">
        <f>IF(ABS(F40-E40)&lt;=1e-06,"PASS","FAIL")</f>
        <v>PASS</v>
      </c>
    </row>
    <row r="41">
      <c r="A41" t="inlineStr">
        <is>
          <t>Non-Hispanic Asian</t>
        </is>
      </c>
      <c r="B41" t="inlineStr">
        <is>
          <t>bmi</t>
        </is>
      </c>
      <c r="C41" s="9" t="n">
        <v>796</v>
      </c>
      <c r="D41" s="9" t="n">
        <v>10</v>
      </c>
      <c r="E41" s="6" t="n">
        <v>0.0125628140703517</v>
      </c>
      <c r="F41" s="6">
        <f>D41/C41</f>
        <v>0.01256281407035176</v>
      </c>
      <c r="G41" t="str">
        <f>IF(ABS(F41-E41)&lt;=1e-06,"PASS","FAIL")</f>
        <v>PASS</v>
      </c>
    </row>
    <row r="42">
      <c r="A42" t="inlineStr">
        <is>
          <t>Non-Hispanic Asian</t>
        </is>
      </c>
      <c r="B42" t="inlineStr">
        <is>
          <t>family_history</t>
        </is>
      </c>
      <c r="C42" s="9" t="n">
        <v>796</v>
      </c>
      <c r="D42" s="9" t="n">
        <v>143</v>
      </c>
      <c r="E42" s="6" t="n">
        <v>0.1796482412060301</v>
      </c>
      <c r="F42" s="6">
        <f>D42/C42</f>
        <v>0.17964824120603015</v>
      </c>
      <c r="G42" t="str">
        <f>IF(ABS(F42-E42)&lt;=1e-06,"PASS","FAIL")</f>
        <v>PASS</v>
      </c>
    </row>
    <row r="43">
      <c r="A43" t="inlineStr">
        <is>
          <t>Non-Hispanic Asian</t>
        </is>
      </c>
      <c r="B43" t="inlineStr">
        <is>
          <t>insured</t>
        </is>
      </c>
      <c r="C43" s="9" t="n">
        <v>796</v>
      </c>
      <c r="D43" s="9" t="n">
        <v>1</v>
      </c>
      <c r="E43" s="6" t="n">
        <v>0.0012562814070351</v>
      </c>
      <c r="F43" s="6">
        <f>D43/C43</f>
        <v>0.001256281407035176</v>
      </c>
      <c r="G43" t="str">
        <f>IF(ABS(F43-E43)&lt;=1e-06,"PASS","FAIL")</f>
        <v>PASS</v>
      </c>
    </row>
    <row r="44">
      <c r="A44" t="inlineStr">
        <is>
          <t>Non-Hispanic Asian</t>
        </is>
      </c>
      <c r="B44" t="inlineStr">
        <is>
          <t>routine_care</t>
        </is>
      </c>
      <c r="C44" s="9" t="n">
        <v>796</v>
      </c>
      <c r="D44" s="9" t="n">
        <v>1</v>
      </c>
      <c r="E44" s="6" t="n">
        <v>0.0012562814070351</v>
      </c>
      <c r="F44" s="6">
        <f>D44/C44</f>
        <v>0.001256281407035176</v>
      </c>
      <c r="G44" t="str">
        <f>IF(ABS(F44-E44)&lt;=1e-06,"PASS","FAIL")</f>
        <v>PASS</v>
      </c>
    </row>
    <row r="45">
      <c r="A45" t="inlineStr">
        <is>
          <t>Other/Multiracial</t>
        </is>
      </c>
      <c r="B45" t="inlineStr">
        <is>
          <t>bmi</t>
        </is>
      </c>
      <c r="C45" s="9" t="n">
        <v>341</v>
      </c>
      <c r="D45" s="9" t="n">
        <v>6</v>
      </c>
      <c r="E45" s="6" t="n">
        <v>0.0175953079178885</v>
      </c>
      <c r="F45" s="6">
        <f>D45/C45</f>
        <v>0.017595307917888565</v>
      </c>
      <c r="G45" t="str">
        <f>IF(ABS(F45-E45)&lt;=1e-06,"PASS","FAIL")</f>
        <v>PASS</v>
      </c>
    </row>
    <row r="46">
      <c r="A46" t="inlineStr">
        <is>
          <t>Other/Multiracial</t>
        </is>
      </c>
      <c r="B46" t="inlineStr">
        <is>
          <t>family_history</t>
        </is>
      </c>
      <c r="C46" s="9" t="n">
        <v>341</v>
      </c>
      <c r="D46" s="9" t="n">
        <v>99</v>
      </c>
      <c r="E46" s="6" t="n">
        <v>0.2903225806451613</v>
      </c>
      <c r="F46" s="6">
        <f>D46/C46</f>
        <v>0.2903225806451613</v>
      </c>
      <c r="G46" t="str">
        <f>IF(ABS(F46-E46)&lt;=1e-06,"PASS","FAIL")</f>
        <v>PASS</v>
      </c>
    </row>
    <row r="47">
      <c r="A47" t="inlineStr">
        <is>
          <t>Other/Multiracial</t>
        </is>
      </c>
      <c r="B47" t="inlineStr">
        <is>
          <t>insured</t>
        </is>
      </c>
      <c r="C47" s="9" t="n">
        <v>341</v>
      </c>
      <c r="D47" s="9" t="n">
        <v>1</v>
      </c>
      <c r="E47" s="6" t="n">
        <v>0.002932551319648</v>
      </c>
      <c r="F47" s="6">
        <f>D47/C47</f>
        <v>0.002932551319648094</v>
      </c>
      <c r="G47" t="str">
        <f>IF(ABS(F47-E47)&lt;=1e-06,"PASS","FAIL")</f>
        <v>PASS</v>
      </c>
    </row>
    <row r="48">
      <c r="A48" t="inlineStr">
        <is>
          <t>Other/Multiracial</t>
        </is>
      </c>
      <c r="B48" t="inlineStr">
        <is>
          <t>routine_care</t>
        </is>
      </c>
      <c r="C48" s="9" t="n">
        <v>341</v>
      </c>
      <c r="D48" s="9" t="n">
        <v>0</v>
      </c>
      <c r="E48" s="6" t="n">
        <v>0</v>
      </c>
      <c r="F48" s="6">
        <f>D48/C48</f>
        <v>0.0</v>
      </c>
      <c r="G48" t="str">
        <f>IF(ABS(F48-E48)&lt;=1e-06,"PASS","FAIL")</f>
        <v>PASS</v>
      </c>
    </row>
    <row r="49">
      <c r="A49" t="inlineStr">
        <is>
          <t>All groups</t>
        </is>
      </c>
      <c r="B49" t="inlineStr">
        <is>
          <t>bmi</t>
        </is>
      </c>
      <c r="C49" s="9" t="n">
        <v>5873</v>
      </c>
      <c r="D49" s="9" t="n">
        <v>92</v>
      </c>
      <c r="E49" s="6" t="n">
        <v>0.0156649072024518</v>
      </c>
      <c r="F49" s="6">
        <f>D49/C49</f>
        <v>0.015664907202451898</v>
      </c>
      <c r="G49" t="str">
        <f>IF(ABS(F49-E49)&lt;=1e-06,"PASS","FAIL")</f>
        <v>PASS</v>
      </c>
    </row>
    <row r="50">
      <c r="A50" t="inlineStr">
        <is>
          <t>All groups</t>
        </is>
      </c>
      <c r="B50" t="inlineStr">
        <is>
          <t>family_history</t>
        </is>
      </c>
      <c r="C50" s="9" t="n">
        <v>5873</v>
      </c>
      <c r="D50" s="9" t="n">
        <v>1086</v>
      </c>
      <c r="E50" s="6" t="n">
        <v>0.1849140132811169</v>
      </c>
      <c r="F50" s="6">
        <f>D50/C50</f>
        <v>0.18491401328111698</v>
      </c>
      <c r="G50" t="str">
        <f>IF(ABS(F50-E50)&lt;=1e-06,"PASS","FAIL")</f>
        <v>PASS</v>
      </c>
    </row>
    <row r="51">
      <c r="A51" t="inlineStr">
        <is>
          <t>All groups</t>
        </is>
      </c>
      <c r="B51" t="inlineStr">
        <is>
          <t>insured</t>
        </is>
      </c>
      <c r="C51" s="9" t="n">
        <v>5873</v>
      </c>
      <c r="D51" s="9" t="n">
        <v>14</v>
      </c>
      <c r="E51" s="6" t="n">
        <v>0.00238379022646</v>
      </c>
      <c r="F51" s="6">
        <f>D51/C51</f>
        <v>0.0023837902264600714</v>
      </c>
      <c r="G51" t="str">
        <f>IF(ABS(F51-E51)&lt;=1e-06,"PASS","FAIL")</f>
        <v>PASS</v>
      </c>
    </row>
    <row r="52">
      <c r="A52" t="inlineStr">
        <is>
          <t>All groups</t>
        </is>
      </c>
      <c r="B52" t="inlineStr">
        <is>
          <t>routine_care</t>
        </is>
      </c>
      <c r="C52" s="9" t="n">
        <v>5873</v>
      </c>
      <c r="D52" s="9" t="n">
        <v>2</v>
      </c>
      <c r="E52" s="6" t="n">
        <v>0.0003405414609228</v>
      </c>
      <c r="F52" s="6">
        <f>D52/C52</f>
        <v>0.00034054146092286734</v>
      </c>
      <c r="G52" t="str">
        <f>IF(ABS(F52-E52)&lt;=1e-06,"PASS","FAIL")</f>
        <v>PASS</v>
      </c>
    </row>
    <row r="56">
      <c r="A56" s="11" t="inlineStr">
        <is>
          <t>Source files: CDC NHANES 2017-2018 public-use data (hashes verified on download)</t>
        </is>
      </c>
    </row>
    <row r="57">
      <c r="A57" s="5" t="inlineStr">
        <is>
          <t>file</t>
        </is>
      </c>
      <c r="B57" s="5" t="inlineStr">
        <is>
          <t>source_url</t>
        </is>
      </c>
      <c r="C57" s="5" t="inlineStr">
        <is>
          <t>bytes</t>
        </is>
      </c>
      <c r="D57" s="5" t="inlineStr">
        <is>
          <t>sha256</t>
        </is>
      </c>
      <c r="E57" s="5" t="inlineStr">
        <is>
          <t>retrieved_at</t>
        </is>
      </c>
      <c r="F57" s="5" t="inlineStr">
        <is>
          <t>columns_verified</t>
        </is>
      </c>
    </row>
    <row r="58">
      <c r="A58" t="inlineStr">
        <is>
          <t>BMX_J</t>
        </is>
      </c>
      <c r="B58" t="inlineStr">
        <is>
          <t>https://wwwn.cdc.gov/Nchs/Data/Nhanes/Public/2017/DataFiles/BMX_J.xpt</t>
        </is>
      </c>
      <c r="C58" s="9" t="n">
        <v>1466000</v>
      </c>
      <c r="D58" t="inlineStr">
        <is>
          <t>8d675e42d8826ac98714b2c3dd4c5138a5e353fb4424f7eff5e6db4a01ce838a</t>
        </is>
      </c>
      <c r="E58" t="inlineStr">
        <is>
          <t>2026-09-19</t>
        </is>
      </c>
      <c r="F58" t="inlineStr">
        <is>
          <t>SEQN, BMXBMI</t>
        </is>
      </c>
    </row>
    <row r="59">
      <c r="A59" t="inlineStr">
        <is>
          <t>DEMO_J</t>
        </is>
      </c>
      <c r="B59" t="inlineStr">
        <is>
          <t>https://wwwn.cdc.gov/Nchs/Data/Nhanes/Public/2017/DataFiles/DEMO_J.xpt</t>
        </is>
      </c>
      <c r="C59" s="9" t="n">
        <v>3412720</v>
      </c>
      <c r="D59" t="inlineStr">
        <is>
          <t>c0b46e0345ea19404928656277c8b0d10b0cca348a9b2fe4fc3c67e8b7ee73ec</t>
        </is>
      </c>
      <c r="E59" t="inlineStr">
        <is>
          <t>2026-09-19</t>
        </is>
      </c>
      <c r="F59" t="inlineStr">
        <is>
          <t>SEQN, RIDAGEYR, RIAGENDR, RIDRETH3, WTMEC2YR, SDMVPSU, SDMVSTRA</t>
        </is>
      </c>
    </row>
    <row r="60">
      <c r="A60" t="inlineStr">
        <is>
          <t>DIQ_J</t>
        </is>
      </c>
      <c r="B60" t="inlineStr">
        <is>
          <t>https://wwwn.cdc.gov/Nchs/Data/Nhanes/Public/2017/DataFiles/DIQ_J.xpt</t>
        </is>
      </c>
      <c r="C60" s="9" t="n">
        <v>3851840</v>
      </c>
      <c r="D60" t="inlineStr">
        <is>
          <t>1ecbf5360dfc331d1efbf32198553dc30e9a1f4cff0a907ed30ca72bac797f89</t>
        </is>
      </c>
      <c r="E60" t="inlineStr">
        <is>
          <t>2026-09-19</t>
        </is>
      </c>
      <c r="F60" t="inlineStr">
        <is>
          <t>SEQN, DIQ010</t>
        </is>
      </c>
    </row>
    <row r="61">
      <c r="A61" t="inlineStr">
        <is>
          <t>GHB_J</t>
        </is>
      </c>
      <c r="B61" t="inlineStr">
        <is>
          <t>https://wwwn.cdc.gov/Nchs/Data/Nhanes/Public/2017/DataFiles/GHB_J.xpt</t>
        </is>
      </c>
      <c r="C61" s="9" t="n">
        <v>103520</v>
      </c>
      <c r="D61" t="inlineStr">
        <is>
          <t>35f07094573a0061a03ed609a5a363b34eb1b1c7065d1623b43d72e132a8a654</t>
        </is>
      </c>
      <c r="E61" t="inlineStr">
        <is>
          <t>2026-09-19</t>
        </is>
      </c>
      <c r="F61" t="inlineStr">
        <is>
          <t>SEQN, LBXGH</t>
        </is>
      </c>
    </row>
    <row r="62">
      <c r="A62" t="inlineStr">
        <is>
          <t>HIQ_J</t>
        </is>
      </c>
      <c r="B62" t="inlineStr">
        <is>
          <t>https://wwwn.cdc.gov/Nchs/Data/Nhanes/Public/2017/DataFiles/HIQ_J.xpt</t>
        </is>
      </c>
      <c r="C62" s="9" t="n">
        <v>1187520</v>
      </c>
      <c r="D62" t="inlineStr">
        <is>
          <t>96dfdd98507ea6dc67cb2c2b6999da3c035f3f8a9a87cf34756fe30762387860</t>
        </is>
      </c>
      <c r="E62" t="inlineStr">
        <is>
          <t>2026-09-19</t>
        </is>
      </c>
      <c r="F62" t="inlineStr">
        <is>
          <t>SEQN, HIQ011</t>
        </is>
      </c>
    </row>
    <row r="63">
      <c r="A63" t="inlineStr">
        <is>
          <t>HUQ_J</t>
        </is>
      </c>
      <c r="B63" t="inlineStr">
        <is>
          <t>https://wwwn.cdc.gov/Nchs/Data/Nhanes/Public/2017/DataFiles/HUQ_J.xpt</t>
        </is>
      </c>
      <c r="C63" s="9" t="n">
        <v>742480</v>
      </c>
      <c r="D63" t="inlineStr">
        <is>
          <t>0d8814ca6a72c003eb89885a3a24dcff3b475dfed454089cf4890f9ab9da06d2</t>
        </is>
      </c>
      <c r="E63" t="inlineStr">
        <is>
          <t>2026-09-19</t>
        </is>
      </c>
      <c r="F63" t="inlineStr">
        <is>
          <t>SEQN, HUQ030</t>
        </is>
      </c>
    </row>
    <row r="64">
      <c r="A64" t="inlineStr">
        <is>
          <t>MCQ_J</t>
        </is>
      </c>
      <c r="B64" t="inlineStr">
        <is>
          <t>https://wwwn.cdc.gov/Nchs/Data/Nhanes/Public/2017/DataFiles/MCQ_J.xpt</t>
        </is>
      </c>
      <c r="C64" s="9" t="n">
        <v>5420800</v>
      </c>
      <c r="D64" t="inlineStr">
        <is>
          <t>79c50c805a377fcd61d44fae8b86a16af0a5741f8b1aeebda918d7d743c68f98</t>
        </is>
      </c>
      <c r="E64" t="inlineStr">
        <is>
          <t>2026-09-19</t>
        </is>
      </c>
      <c r="F64" t="inlineStr">
        <is>
          <t>SEQN, MCQ300C</t>
        </is>
      </c>
    </row>
    <row r="68">
      <c r="A68" s="11" t="inlineStr">
        <is>
          <t>Independent check: Python survey estimates against R's survey package</t>
        </is>
      </c>
    </row>
    <row r="69">
      <c r="A69" s="5" t="inlineStr">
        <is>
          <t>quantity</t>
        </is>
      </c>
      <c r="B69" s="5" t="inlineStr">
        <is>
          <t>group</t>
        </is>
      </c>
      <c r="C69" s="5" t="inlineStr">
        <is>
          <t>python_estimate</t>
        </is>
      </c>
      <c r="D69" s="5" t="inlineStr">
        <is>
          <t>r_estimate</t>
        </is>
      </c>
      <c r="E69" s="5" t="inlineStr">
        <is>
          <t>absolute_difference</t>
        </is>
      </c>
      <c r="F69" s="5" t="inlineStr">
        <is>
          <t>tolerance</t>
        </is>
      </c>
      <c r="G69" s="5" t="inlineStr">
        <is>
          <t>diff_check</t>
        </is>
      </c>
      <c r="H69" s="5" t="inlineStr">
        <is>
          <t>within_tolerance</t>
        </is>
      </c>
    </row>
    <row r="70">
      <c r="A70" t="inlineStr">
        <is>
          <t>estimate</t>
        </is>
      </c>
      <c r="B70" t="inlineStr">
        <is>
          <t>All groups</t>
        </is>
      </c>
      <c r="C70" s="21" t="n">
        <v>0.1888501127077438</v>
      </c>
      <c r="D70" s="21" t="n">
        <v>0.188850112707744</v>
      </c>
      <c r="E70" s="15" t="n">
        <v>1.942890293094024e-16</v>
      </c>
      <c r="F70" s="15" t="n">
        <v>1e-06</v>
      </c>
      <c r="G70" s="15">
        <f>ABS(C70-D70)</f>
        <v>0.0</v>
      </c>
      <c r="H70" t="str">
        <f>IF(G70&lt;=F70,"PASS","FAIL")</f>
        <v>PASS</v>
      </c>
    </row>
    <row r="71">
      <c r="A71" t="inlineStr">
        <is>
          <t>estimate</t>
        </is>
      </c>
      <c r="B71" t="inlineStr">
        <is>
          <t>Mexican American</t>
        </is>
      </c>
      <c r="C71" s="21" t="n">
        <v>0.2269195259941483</v>
      </c>
      <c r="D71" s="21" t="n">
        <v>0.226919525994148</v>
      </c>
      <c r="E71" s="15" t="n">
        <v>3.05311331771918e-16</v>
      </c>
      <c r="F71" s="15" t="n">
        <v>1e-06</v>
      </c>
      <c r="G71" s="15">
        <f>ABS(C71-D71)</f>
        <v>0.0</v>
      </c>
      <c r="H71" t="str">
        <f>IF(G71&lt;=F71,"PASS","FAIL")</f>
        <v>PASS</v>
      </c>
    </row>
    <row r="72">
      <c r="A72" t="inlineStr">
        <is>
          <t>estimate</t>
        </is>
      </c>
      <c r="B72" t="inlineStr">
        <is>
          <t>Non-Hispanic Asian</t>
        </is>
      </c>
      <c r="C72" s="21" t="n">
        <v>0.2772424047413246</v>
      </c>
      <c r="D72" s="21" t="n">
        <v>0.277242404741325</v>
      </c>
      <c r="E72" s="15" t="n">
        <v>3.885780586188048e-16</v>
      </c>
      <c r="F72" s="15" t="n">
        <v>1e-06</v>
      </c>
      <c r="G72" s="15">
        <f>ABS(C72-D72)</f>
        <v>0.0</v>
      </c>
      <c r="H72" t="str">
        <f>IF(G72&lt;=F72,"PASS","FAIL")</f>
        <v>PASS</v>
      </c>
    </row>
    <row r="73">
      <c r="A73" t="inlineStr">
        <is>
          <t>estimate</t>
        </is>
      </c>
      <c r="B73" t="inlineStr">
        <is>
          <t>Non-Hispanic Black</t>
        </is>
      </c>
      <c r="C73" s="21" t="n">
        <v>0.3223614785929236</v>
      </c>
      <c r="D73" s="21" t="n">
        <v>0.322361478592923</v>
      </c>
      <c r="E73" s="15" t="n">
        <v>6.106226635438361e-16</v>
      </c>
      <c r="F73" s="15" t="n">
        <v>1e-06</v>
      </c>
      <c r="G73" s="15">
        <f>ABS(C73-D73)</f>
        <v>9.992007221626409e-16</v>
      </c>
      <c r="H73" t="str">
        <f>IF(G73&lt;=F73,"PASS","FAIL")</f>
        <v>PASS</v>
      </c>
    </row>
    <row r="74">
      <c r="A74" t="inlineStr">
        <is>
          <t>estimate</t>
        </is>
      </c>
      <c r="B74" t="inlineStr">
        <is>
          <t>Non-Hispanic White</t>
        </is>
      </c>
      <c r="C74" s="21" t="n">
        <v>0.1284942497662645</v>
      </c>
      <c r="D74" s="21" t="n">
        <v>0.128494249766265</v>
      </c>
      <c r="E74" s="15" t="n">
        <v>4.996003610813204e-16</v>
      </c>
      <c r="F74" s="15" t="n">
        <v>1e-06</v>
      </c>
      <c r="G74" s="15">
        <f>ABS(C74-D74)</f>
        <v>0.0</v>
      </c>
      <c r="H74" t="str">
        <f>IF(G74&lt;=F74,"PASS","FAIL")</f>
        <v>PASS</v>
      </c>
    </row>
    <row r="75">
      <c r="A75" t="inlineStr">
        <is>
          <t>estimate</t>
        </is>
      </c>
      <c r="B75" t="inlineStr">
        <is>
          <t>Other Hispanic</t>
        </is>
      </c>
      <c r="C75" s="21" t="n">
        <v>0.3148948895885622</v>
      </c>
      <c r="D75" s="21" t="n">
        <v>0.314894889588562</v>
      </c>
      <c r="E75" s="15" t="n">
        <v>2.775557561562891e-16</v>
      </c>
      <c r="F75" s="15" t="n">
        <v>1e-06</v>
      </c>
      <c r="G75" s="15">
        <f>ABS(C75-D75)</f>
        <v>0.0</v>
      </c>
      <c r="H75" t="str">
        <f>IF(G75&lt;=F75,"PASS","FAIL")</f>
        <v>PASS</v>
      </c>
    </row>
    <row r="76">
      <c r="A76" t="inlineStr">
        <is>
          <t>estimate</t>
        </is>
      </c>
      <c r="B76" t="inlineStr">
        <is>
          <t>Other/Multiracial</t>
        </is>
      </c>
      <c r="C76" s="21" t="n">
        <v>0.13324074492323</v>
      </c>
      <c r="D76" s="21" t="n">
        <v>0.13324074492323</v>
      </c>
      <c r="E76" s="15" t="n">
        <v>0</v>
      </c>
      <c r="F76" s="15" t="n">
        <v>1e-06</v>
      </c>
      <c r="G76" s="15">
        <f>ABS(C76-D76)</f>
        <v>0.0</v>
      </c>
      <c r="H76" t="str">
        <f>IF(G76&lt;=F76,"PASS","FAIL")</f>
        <v>PASS</v>
      </c>
    </row>
    <row r="77">
      <c r="A77" t="inlineStr">
        <is>
          <t>estimate</t>
        </is>
      </c>
      <c r="B77" t="inlineStr">
        <is>
          <t>Non-Hispanic Black minus Non-Hispanic White</t>
        </is>
      </c>
      <c r="C77" s="21" t="n">
        <v>0.1938672288266591</v>
      </c>
      <c r="D77" s="21" t="n">
        <v>0.193867228826659</v>
      </c>
      <c r="E77" s="15" t="n">
        <v>1.387778780781445e-16</v>
      </c>
      <c r="F77" s="15" t="n">
        <v>1e-06</v>
      </c>
      <c r="G77" s="15">
        <f>ABS(C77-D77)</f>
        <v>0.0</v>
      </c>
      <c r="H77" t="str">
        <f>IF(G77&lt;=F77,"PASS","FAIL")</f>
        <v>PASS</v>
      </c>
    </row>
    <row r="78">
      <c r="A78" t="inlineStr">
        <is>
          <t>se</t>
        </is>
      </c>
      <c r="B78" t="inlineStr">
        <is>
          <t>All groups</t>
        </is>
      </c>
      <c r="C78" s="21" t="n">
        <v>0.0169096139994376</v>
      </c>
      <c r="D78" s="21" t="n">
        <v>0.0169096139994377</v>
      </c>
      <c r="E78" s="15" t="n">
        <v>4.163336342344337e-17</v>
      </c>
      <c r="F78" s="15" t="n">
        <v>1e-06</v>
      </c>
      <c r="G78" s="15">
        <f>ABS(C78-D78)</f>
        <v>0.0</v>
      </c>
      <c r="H78" t="str">
        <f>IF(G78&lt;=F78,"PASS","FAIL")</f>
        <v>PASS</v>
      </c>
    </row>
    <row r="79">
      <c r="A79" t="inlineStr">
        <is>
          <t>se</t>
        </is>
      </c>
      <c r="B79" t="inlineStr">
        <is>
          <t>Mexican American</t>
        </is>
      </c>
      <c r="C79" s="21" t="n">
        <v>0.0487546277011123</v>
      </c>
      <c r="D79" s="21" t="n">
        <v>0.0487546277011124</v>
      </c>
      <c r="E79" s="15" t="n">
        <v>4.163336342344337e-17</v>
      </c>
      <c r="F79" s="15" t="n">
        <v>1e-06</v>
      </c>
      <c r="G79" s="15">
        <f>ABS(C79-D79)</f>
        <v>0.0</v>
      </c>
      <c r="H79" t="str">
        <f>IF(G79&lt;=F79,"PASS","FAIL")</f>
        <v>PASS</v>
      </c>
    </row>
    <row r="80">
      <c r="A80" t="inlineStr">
        <is>
          <t>se</t>
        </is>
      </c>
      <c r="B80" t="inlineStr">
        <is>
          <t>Non-Hispanic Asian</t>
        </is>
      </c>
      <c r="C80" s="21" t="n">
        <v>0.047807552319763</v>
      </c>
      <c r="D80" s="21" t="n">
        <v>0.047807552319763</v>
      </c>
      <c r="E80" s="15" t="n">
        <v>2.775557561562891e-17</v>
      </c>
      <c r="F80" s="15" t="n">
        <v>1e-06</v>
      </c>
      <c r="G80" s="15">
        <f>ABS(C80-D80)</f>
        <v>0.0</v>
      </c>
      <c r="H80" t="str">
        <f>IF(G80&lt;=F80,"PASS","FAIL")</f>
        <v>PASS</v>
      </c>
    </row>
    <row r="81">
      <c r="A81" t="inlineStr">
        <is>
          <t>se</t>
        </is>
      </c>
      <c r="B81" t="inlineStr">
        <is>
          <t>Non-Hispanic Black</t>
        </is>
      </c>
      <c r="C81" s="21" t="n">
        <v>0.0454513299669566</v>
      </c>
      <c r="D81" s="21" t="n">
        <v>0.0454513299669566</v>
      </c>
      <c r="E81" s="15" t="n">
        <v>2.081668171172169e-17</v>
      </c>
      <c r="F81" s="15" t="n">
        <v>1e-06</v>
      </c>
      <c r="G81" s="15">
        <f>ABS(C81-D81)</f>
        <v>0.0</v>
      </c>
      <c r="H81" t="str">
        <f>IF(G81&lt;=F81,"PASS","FAIL")</f>
        <v>PASS</v>
      </c>
    </row>
    <row r="82">
      <c r="A82" t="inlineStr">
        <is>
          <t>se</t>
        </is>
      </c>
      <c r="B82" t="inlineStr">
        <is>
          <t>Non-Hispanic White</t>
        </is>
      </c>
      <c r="C82" s="21" t="n">
        <v>0.0309564971602047</v>
      </c>
      <c r="D82" s="21" t="n">
        <v>0.0309564971602048</v>
      </c>
      <c r="E82" s="15" t="n">
        <v>2.42861286636753e-17</v>
      </c>
      <c r="F82" s="15" t="n">
        <v>1e-06</v>
      </c>
      <c r="G82" s="15">
        <f>ABS(C82-D82)</f>
        <v>0.0</v>
      </c>
      <c r="H82" t="str">
        <f>IF(G82&lt;=F82,"PASS","FAIL")</f>
        <v>PASS</v>
      </c>
    </row>
    <row r="83">
      <c r="A83" t="inlineStr">
        <is>
          <t>se</t>
        </is>
      </c>
      <c r="B83" t="inlineStr">
        <is>
          <t>Other Hispanic</t>
        </is>
      </c>
      <c r="C83" s="21" t="n">
        <v>0.098657331084093</v>
      </c>
      <c r="D83" s="21" t="n">
        <v>0.098657331084093</v>
      </c>
      <c r="E83" s="15" t="n">
        <v>1.387778780781446e-17</v>
      </c>
      <c r="F83" s="15" t="n">
        <v>1e-06</v>
      </c>
      <c r="G83" s="15">
        <f>ABS(C83-D83)</f>
        <v>0.0</v>
      </c>
      <c r="H83" t="str">
        <f>IF(G83&lt;=F83,"PASS","FAIL")</f>
        <v>PASS</v>
      </c>
    </row>
    <row r="84">
      <c r="A84" t="inlineStr">
        <is>
          <t>se</t>
        </is>
      </c>
      <c r="B84" t="inlineStr">
        <is>
          <t>Other/Multiracial</t>
        </is>
      </c>
      <c r="C84" s="21" t="n">
        <v>0.048141579626975</v>
      </c>
      <c r="D84" s="21" t="n">
        <v>0.048141579626975</v>
      </c>
      <c r="E84" s="15" t="n">
        <v>4.163336342344337e-17</v>
      </c>
      <c r="F84" s="15" t="n">
        <v>1e-06</v>
      </c>
      <c r="G84" s="15">
        <f>ABS(C84-D84)</f>
        <v>0.0</v>
      </c>
      <c r="H84" t="str">
        <f>IF(G84&lt;=F84,"PASS","FAIL")</f>
        <v>PASS</v>
      </c>
    </row>
    <row r="85">
      <c r="A85" t="inlineStr">
        <is>
          <t>se</t>
        </is>
      </c>
      <c r="B85" t="inlineStr">
        <is>
          <t>Non-Hispanic Black minus Non-Hispanic White</t>
        </is>
      </c>
      <c r="C85" s="21" t="n">
        <v>0.0580188562937987</v>
      </c>
      <c r="D85" s="21" t="n">
        <v>0.0580188562937987</v>
      </c>
      <c r="E85" s="15" t="n">
        <v>6.938893903907228e-18</v>
      </c>
      <c r="F85" s="15" t="n">
        <v>1e-06</v>
      </c>
      <c r="G85" s="15">
        <f>ABS(C85-D85)</f>
        <v>0.0</v>
      </c>
      <c r="H85" t="str">
        <f>IF(G85&lt;=F85,"PASS","FAIL")</f>
        <v>PASS</v>
      </c>
    </row>
    <row r="86">
      <c r="A86" t="inlineStr">
        <is>
          <t>df</t>
        </is>
      </c>
      <c r="B86" t="inlineStr">
        <is>
          <t>All groups</t>
        </is>
      </c>
      <c r="C86" s="21" t="n">
        <v>15</v>
      </c>
      <c r="D86" s="21" t="n">
        <v>15</v>
      </c>
      <c r="E86" s="15" t="n">
        <v>0</v>
      </c>
      <c r="F86" s="15" t="n">
        <v>1e-06</v>
      </c>
      <c r="G86" s="15">
        <f>ABS(C86-D86)</f>
        <v>0.0</v>
      </c>
      <c r="H86" t="str">
        <f>IF(G86&lt;=F86,"PASS","FAIL")</f>
        <v>PASS</v>
      </c>
    </row>
    <row r="87">
      <c r="A87" t="inlineStr">
        <is>
          <t>df</t>
        </is>
      </c>
      <c r="B87" t="inlineStr">
        <is>
          <t>Mexican American</t>
        </is>
      </c>
      <c r="C87" s="21" t="n">
        <v>6</v>
      </c>
      <c r="D87" s="21" t="n">
        <v>6</v>
      </c>
      <c r="E87" s="15" t="n">
        <v>0</v>
      </c>
      <c r="F87" s="15" t="n">
        <v>1e-06</v>
      </c>
      <c r="G87" s="15">
        <f>ABS(C87-D87)</f>
        <v>0.0</v>
      </c>
      <c r="H87" t="str">
        <f>IF(G87&lt;=F87,"PASS","FAIL")</f>
        <v>PASS</v>
      </c>
    </row>
    <row r="88">
      <c r="A88" t="inlineStr">
        <is>
          <t>df</t>
        </is>
      </c>
      <c r="B88" t="inlineStr">
        <is>
          <t>Non-Hispanic Asian</t>
        </is>
      </c>
      <c r="C88" s="21" t="n">
        <v>10</v>
      </c>
      <c r="D88" s="21" t="n">
        <v>10</v>
      </c>
      <c r="E88" s="15" t="n">
        <v>0</v>
      </c>
      <c r="F88" s="15" t="n">
        <v>1e-06</v>
      </c>
      <c r="G88" s="15">
        <f>ABS(C88-D88)</f>
        <v>0.0</v>
      </c>
      <c r="H88" t="str">
        <f>IF(G88&lt;=F88,"PASS","FAIL")</f>
        <v>PASS</v>
      </c>
    </row>
    <row r="89">
      <c r="A89" t="inlineStr">
        <is>
          <t>df</t>
        </is>
      </c>
      <c r="B89" t="inlineStr">
        <is>
          <t>Non-Hispanic Black</t>
        </is>
      </c>
      <c r="C89" s="21" t="n">
        <v>10</v>
      </c>
      <c r="D89" s="21" t="n">
        <v>10</v>
      </c>
      <c r="E89" s="15" t="n">
        <v>0</v>
      </c>
      <c r="F89" s="15" t="n">
        <v>1e-06</v>
      </c>
      <c r="G89" s="15">
        <f>ABS(C89-D89)</f>
        <v>0.0</v>
      </c>
      <c r="H89" t="str">
        <f>IF(G89&lt;=F89,"PASS","FAIL")</f>
        <v>PASS</v>
      </c>
    </row>
    <row r="90">
      <c r="A90" t="inlineStr">
        <is>
          <t>df</t>
        </is>
      </c>
      <c r="B90" t="inlineStr">
        <is>
          <t>Non-Hispanic White</t>
        </is>
      </c>
      <c r="C90" s="21" t="n">
        <v>14</v>
      </c>
      <c r="D90" s="21" t="n">
        <v>14</v>
      </c>
      <c r="E90" s="15" t="n">
        <v>0</v>
      </c>
      <c r="F90" s="15" t="n">
        <v>1e-06</v>
      </c>
      <c r="G90" s="15">
        <f>ABS(C90-D90)</f>
        <v>0.0</v>
      </c>
      <c r="H90" t="str">
        <f>IF(G90&lt;=F90,"PASS","FAIL")</f>
        <v>PASS</v>
      </c>
    </row>
    <row r="91">
      <c r="A91" t="inlineStr">
        <is>
          <t>df</t>
        </is>
      </c>
      <c r="B91" t="inlineStr">
        <is>
          <t>Other Hispanic</t>
        </is>
      </c>
      <c r="C91" s="21" t="n">
        <v>8</v>
      </c>
      <c r="D91" s="21" t="n">
        <v>8</v>
      </c>
      <c r="E91" s="15" t="n">
        <v>0</v>
      </c>
      <c r="F91" s="15" t="n">
        <v>1e-06</v>
      </c>
      <c r="G91" s="15">
        <f>ABS(C91-D91)</f>
        <v>0.0</v>
      </c>
      <c r="H91" t="str">
        <f>IF(G91&lt;=F91,"PASS","FAIL")</f>
        <v>PASS</v>
      </c>
    </row>
    <row r="92">
      <c r="A92" t="inlineStr">
        <is>
          <t>df</t>
        </is>
      </c>
      <c r="B92" t="inlineStr">
        <is>
          <t>Other/Multiracial</t>
        </is>
      </c>
      <c r="C92" s="21" t="n">
        <v>8</v>
      </c>
      <c r="D92" s="21" t="n">
        <v>8</v>
      </c>
      <c r="E92" s="15" t="n">
        <v>0</v>
      </c>
      <c r="F92" s="15" t="n">
        <v>1e-06</v>
      </c>
      <c r="G92" s="15">
        <f>ABS(C92-D92)</f>
        <v>0.0</v>
      </c>
      <c r="H92" t="str">
        <f>IF(G92&lt;=F92,"PASS","FAIL")</f>
        <v>PASS</v>
      </c>
    </row>
    <row r="93">
      <c r="A93" t="inlineStr">
        <is>
          <t>df</t>
        </is>
      </c>
      <c r="B93" t="inlineStr">
        <is>
          <t>Non-Hispanic Black minus Non-Hispanic White</t>
        </is>
      </c>
      <c r="C93" s="21" t="n">
        <v>15</v>
      </c>
      <c r="D93" s="21" t="n">
        <v>15</v>
      </c>
      <c r="E93" s="15" t="n">
        <v>0</v>
      </c>
      <c r="F93" s="15" t="n">
        <v>1e-06</v>
      </c>
      <c r="G93" s="15">
        <f>ABS(C93-D93)</f>
        <v>0.0</v>
      </c>
      <c r="H93" t="str">
        <f>IF(G93&lt;=F93,"PASS","FAIL")</f>
        <v>PASS</v>
      </c>
    </row>
    <row r="94">
      <c r="A94" t="inlineStr">
        <is>
          <t>ci_low_logit</t>
        </is>
      </c>
      <c r="B94" t="inlineStr">
        <is>
          <t>All groups</t>
        </is>
      </c>
      <c r="C94" s="21" t="n">
        <v>0.1554103141948833</v>
      </c>
      <c r="D94" s="21" t="n">
        <v>0.155410314195057</v>
      </c>
      <c r="E94" s="15" t="n">
        <v>1.736943922026058e-13</v>
      </c>
      <c r="F94" s="15" t="n">
        <v>1e-06</v>
      </c>
      <c r="G94" s="15">
        <f>ABS(C94-D94)</f>
        <v>1.7399970353437766e-13</v>
      </c>
      <c r="H94" t="str">
        <f>IF(G94&lt;=F94,"PASS","FAIL")</f>
        <v>PASS</v>
      </c>
    </row>
    <row r="95">
      <c r="A95" t="inlineStr">
        <is>
          <t>ci_low_logit</t>
        </is>
      </c>
      <c r="B95" t="inlineStr">
        <is>
          <t>Mexican American</t>
        </is>
      </c>
      <c r="C95" s="21" t="n">
        <v>0.1294497599704061</v>
      </c>
      <c r="D95" s="21" t="n">
        <v>0.129449759975966</v>
      </c>
      <c r="E95" s="15" t="n">
        <v>5.559913640595937e-12</v>
      </c>
      <c r="F95" s="15" t="n">
        <v>1e-06</v>
      </c>
      <c r="G95" s="15">
        <f>ABS(C95-D95)</f>
        <v>5.559996907322784e-12</v>
      </c>
      <c r="H95" t="str">
        <f>IF(G95&lt;=F95,"PASS","FAIL")</f>
        <v>PASS</v>
      </c>
    </row>
    <row r="96">
      <c r="A96" t="inlineStr">
        <is>
          <t>ci_low_logit</t>
        </is>
      </c>
      <c r="B96" t="inlineStr">
        <is>
          <t>Non-Hispanic Asian</t>
        </is>
      </c>
      <c r="C96" s="21" t="n">
        <v>0.1839542319791043</v>
      </c>
      <c r="D96" s="21" t="n">
        <v>0.183954231979987</v>
      </c>
      <c r="E96" s="15" t="n">
        <v>8.826273045769994e-13</v>
      </c>
      <c r="F96" s="15" t="n">
        <v>1e-06</v>
      </c>
      <c r="G96" s="15">
        <f>ABS(C96-D96)</f>
        <v>8.830158826356183e-13</v>
      </c>
      <c r="H96" t="str">
        <f>IF(G96&lt;=F96,"PASS","FAIL")</f>
        <v>PASS</v>
      </c>
    </row>
    <row r="97">
      <c r="A97" t="inlineStr">
        <is>
          <t>ci_low_logit</t>
        </is>
      </c>
      <c r="B97" t="inlineStr">
        <is>
          <t>Non-Hispanic Black</t>
        </is>
      </c>
      <c r="C97" s="21" t="n">
        <v>0.2303129532551634</v>
      </c>
      <c r="D97" s="21" t="n">
        <v>0.230312953258233</v>
      </c>
      <c r="E97" s="15" t="n">
        <v>3.069572374059248e-12</v>
      </c>
      <c r="F97" s="15" t="n">
        <v>1e-06</v>
      </c>
      <c r="G97" s="15">
        <f>ABS(C97-D97)</f>
        <v>3.0700164632690985e-12</v>
      </c>
      <c r="H97" t="str">
        <f>IF(G97&lt;=F97,"PASS","FAIL")</f>
        <v>PASS</v>
      </c>
    </row>
    <row r="98">
      <c r="A98" t="inlineStr">
        <is>
          <t>ci_low_logit</t>
        </is>
      </c>
      <c r="B98" t="inlineStr">
        <is>
          <t>Non-Hispanic White</t>
        </is>
      </c>
      <c r="C98" s="21" t="n">
        <v>0.07535225371020809</v>
      </c>
      <c r="D98" s="21" t="n">
        <v>0.0753522539744796</v>
      </c>
      <c r="E98" s="15" t="n">
        <v>2.642714658218637e-10</v>
      </c>
      <c r="F98" s="15" t="n">
        <v>1e-06</v>
      </c>
      <c r="G98" s="15">
        <f>ABS(C98-D98)</f>
        <v>2.642720070555882e-10</v>
      </c>
      <c r="H98" t="str">
        <f>IF(G98&lt;=F98,"PASS","FAIL")</f>
        <v>PASS</v>
      </c>
    </row>
    <row r="99">
      <c r="A99" t="inlineStr">
        <is>
          <t>ci_low_logit</t>
        </is>
      </c>
      <c r="B99" t="inlineStr">
        <is>
          <t>Other Hispanic</t>
        </is>
      </c>
      <c r="C99" s="21" t="n">
        <v>0.1380142219409033</v>
      </c>
      <c r="D99" s="21" t="n">
        <v>0.138014221951662</v>
      </c>
      <c r="E99" s="15" t="n">
        <v>1.075869948685693e-11</v>
      </c>
      <c r="F99" s="15" t="n">
        <v>1e-06</v>
      </c>
      <c r="G99" s="15">
        <f>ABS(C99-D99)</f>
        <v>1.0759004798188698e-11</v>
      </c>
      <c r="H99" t="str">
        <f>IF(G99&lt;=F99,"PASS","FAIL")</f>
        <v>PASS</v>
      </c>
    </row>
    <row r="100">
      <c r="A100" t="inlineStr">
        <is>
          <t>ci_low_logit</t>
        </is>
      </c>
      <c r="B100" t="inlineStr">
        <is>
          <t>Other/Multiracial</t>
        </is>
      </c>
      <c r="C100" s="21" t="n">
        <v>0.0555209788520978</v>
      </c>
      <c r="D100" s="21" t="n">
        <v>0.0555209788652661</v>
      </c>
      <c r="E100" s="15" t="n">
        <v>1.316825815056433e-11</v>
      </c>
      <c r="F100" s="15" t="n">
        <v>1e-06</v>
      </c>
      <c r="G100" s="15">
        <f>ABS(C100-D100)</f>
        <v>1.3168001411489882e-11</v>
      </c>
      <c r="H100" t="str">
        <f>IF(G100&lt;=F100,"PASS","FAIL")</f>
        <v>PASS</v>
      </c>
    </row>
    <row r="101">
      <c r="A101" t="inlineStr">
        <is>
          <t>ci_high_logit</t>
        </is>
      </c>
      <c r="B101" t="inlineStr">
        <is>
          <t>All groups</t>
        </is>
      </c>
      <c r="C101" s="21" t="n">
        <v>0.2275466590100687</v>
      </c>
      <c r="D101" s="21" t="n">
        <v>0.22754665901025</v>
      </c>
      <c r="E101" s="15" t="n">
        <v>1.812994199212881e-13</v>
      </c>
      <c r="F101" s="15" t="n">
        <v>1e-06</v>
      </c>
      <c r="G101" s="15">
        <f>ABS(C101-D101)</f>
        <v>1.8099410858951615e-13</v>
      </c>
      <c r="H101" t="str">
        <f>IF(G101&lt;=F101,"PASS","FAIL")</f>
        <v>PASS</v>
      </c>
    </row>
    <row r="102">
      <c r="A102" t="inlineStr">
        <is>
          <t>ci_high_logit</t>
        </is>
      </c>
      <c r="B102" t="inlineStr">
        <is>
          <t>Mexican American</t>
        </is>
      </c>
      <c r="C102" s="21" t="n">
        <v>0.3668526766879644</v>
      </c>
      <c r="D102" s="21" t="n">
        <v>0.3668526766944</v>
      </c>
      <c r="E102" s="15" t="n">
        <v>6.435629806844645e-12</v>
      </c>
      <c r="F102" s="15" t="n">
        <v>1e-06</v>
      </c>
      <c r="G102" s="15">
        <f>ABS(C102-D102)</f>
        <v>6.436018384903264e-12</v>
      </c>
      <c r="H102" t="str">
        <f>IF(G102&lt;=F102,"PASS","FAIL")</f>
        <v>PASS</v>
      </c>
    </row>
    <row r="103">
      <c r="A103" t="inlineStr">
        <is>
          <t>ci_high_logit</t>
        </is>
      </c>
      <c r="B103" t="inlineStr">
        <is>
          <t>Non-Hispanic Asian</t>
        </is>
      </c>
      <c r="C103" s="21" t="n">
        <v>0.3949433236528997</v>
      </c>
      <c r="D103" s="21" t="n">
        <v>0.394943323653473</v>
      </c>
      <c r="E103" s="15" t="n">
        <v>5.733191699164308e-13</v>
      </c>
      <c r="F103" s="15" t="n">
        <v>1e-06</v>
      </c>
      <c r="G103" s="15">
        <f>ABS(C103-D103)</f>
        <v>5.729861030090433e-13</v>
      </c>
      <c r="H103" t="str">
        <f>IF(G103&lt;=F103,"PASS","FAIL")</f>
        <v>PASS</v>
      </c>
    </row>
    <row r="104">
      <c r="A104" t="inlineStr">
        <is>
          <t>ci_high_logit</t>
        </is>
      </c>
      <c r="B104" t="inlineStr">
        <is>
          <t>Non-Hispanic Black</t>
        </is>
      </c>
      <c r="C104" s="21" t="n">
        <v>0.4306165736125147</v>
      </c>
      <c r="D104" s="21" t="n">
        <v>0.430616573615625</v>
      </c>
      <c r="E104" s="15" t="n">
        <v>3.110234292336145e-12</v>
      </c>
      <c r="F104" s="15" t="n">
        <v>1e-06</v>
      </c>
      <c r="G104" s="15">
        <f>ABS(C104-D104)</f>
        <v>3.1100122477312198e-12</v>
      </c>
      <c r="H104" t="str">
        <f>IF(G104&lt;=F104,"PASS","FAIL")</f>
        <v>PASS</v>
      </c>
    </row>
    <row r="105">
      <c r="A105" t="inlineStr">
        <is>
          <t>ci_high_logit</t>
        </is>
      </c>
      <c r="B105" t="inlineStr">
        <is>
          <t>Non-Hispanic White</t>
        </is>
      </c>
      <c r="C105" s="21" t="n">
        <v>0.2105792134781157</v>
      </c>
      <c r="D105" s="21" t="n">
        <v>0.210579213701611</v>
      </c>
      <c r="E105" s="15" t="n">
        <v>2.234952778401577e-10</v>
      </c>
      <c r="F105" s="15" t="n">
        <v>1e-06</v>
      </c>
      <c r="G105" s="15">
        <f>ABS(C105-D105)</f>
        <v>2.234950002844016e-10</v>
      </c>
      <c r="H105" t="str">
        <f>IF(G105&lt;=F105,"PASS","FAIL")</f>
        <v>PASS</v>
      </c>
    </row>
    <row r="106">
      <c r="A106" t="inlineStr">
        <is>
          <t>ci_high_logit</t>
        </is>
      </c>
      <c r="B106" t="inlineStr">
        <is>
          <t>Other Hispanic</t>
        </is>
      </c>
      <c r="C106" s="21" t="n">
        <v>0.5688633829549252</v>
      </c>
      <c r="D106" s="21" t="n">
        <v>0.568863382959252</v>
      </c>
      <c r="E106" s="15" t="n">
        <v>4.32676117156916e-12</v>
      </c>
      <c r="F106" s="15" t="n">
        <v>1e-06</v>
      </c>
      <c r="G106" s="15">
        <f>ABS(C106-D106)</f>
        <v>4.326983216174085e-12</v>
      </c>
      <c r="H106" t="str">
        <f>IF(G106&lt;=F106,"PASS","FAIL")</f>
        <v>PASS</v>
      </c>
    </row>
    <row r="107">
      <c r="A107" t="inlineStr">
        <is>
          <t>ci_high_logit</t>
        </is>
      </c>
      <c r="B107" t="inlineStr">
        <is>
          <t>Other/Multiracial</t>
        </is>
      </c>
      <c r="C107" s="21" t="n">
        <v>0.2867267759907287</v>
      </c>
      <c r="D107" s="21" t="n">
        <v>0.286726776012616</v>
      </c>
      <c r="E107" s="15" t="n">
        <v>2.188726977436772e-11</v>
      </c>
      <c r="F107" s="15" t="n">
        <v>1e-06</v>
      </c>
      <c r="G107" s="15">
        <f>ABS(C107-D107)</f>
        <v>2.1886992218611567e-11</v>
      </c>
      <c r="H107" t="str">
        <f>IF(G107&lt;=F107,"PASS","FAIL")</f>
        <v>PASS</v>
      </c>
    </row>
    <row r="108">
      <c r="A108" t="inlineStr">
        <is>
          <t>ci_low_wald</t>
        </is>
      </c>
      <c r="B108" t="inlineStr">
        <is>
          <t>All groups</t>
        </is>
      </c>
      <c r="C108" s="21" t="n">
        <v>0.1528081236330511</v>
      </c>
      <c r="D108" s="21" t="n">
        <v>0.152808123633051</v>
      </c>
      <c r="E108" s="15" t="n">
        <v>1.942890293094024e-16</v>
      </c>
      <c r="F108" s="15" t="n">
        <v>1e-06</v>
      </c>
      <c r="G108" s="15">
        <f>ABS(C108-D108)</f>
        <v>0.0</v>
      </c>
      <c r="H108" t="str">
        <f>IF(G108&lt;=F108,"PASS","FAIL")</f>
        <v>PASS</v>
      </c>
    </row>
    <row r="109">
      <c r="A109" t="inlineStr">
        <is>
          <t>ci_low_wald</t>
        </is>
      </c>
      <c r="B109" t="inlineStr">
        <is>
          <t>Mexican American</t>
        </is>
      </c>
      <c r="C109" s="21" t="n">
        <v>0.1076212496741352</v>
      </c>
      <c r="D109" s="21" t="n">
        <v>0.107621249674136</v>
      </c>
      <c r="E109" s="15" t="n">
        <v>8.049116928532385e-16</v>
      </c>
      <c r="F109" s="15" t="n">
        <v>1e-06</v>
      </c>
      <c r="G109" s="15">
        <f>ABS(C109-D109)</f>
        <v>9.992007221626409e-16</v>
      </c>
      <c r="H109" t="str">
        <f>IF(G109&lt;=F109,"PASS","FAIL")</f>
        <v>PASS</v>
      </c>
    </row>
    <row r="110">
      <c r="A110" t="inlineStr">
        <is>
          <t>ci_low_wald</t>
        </is>
      </c>
      <c r="B110" t="inlineStr">
        <is>
          <t>Non-Hispanic Asian</t>
        </is>
      </c>
      <c r="C110" s="21" t="n">
        <v>0.1707205399992941</v>
      </c>
      <c r="D110" s="21" t="n">
        <v>0.170720539999294</v>
      </c>
      <c r="E110" s="15" t="n">
        <v>8.326672684688674e-17</v>
      </c>
      <c r="F110" s="15" t="n">
        <v>1e-06</v>
      </c>
      <c r="G110" s="15">
        <f>ABS(C110-D110)</f>
        <v>0.0</v>
      </c>
      <c r="H110" t="str">
        <f>IF(G110&lt;=F110,"PASS","FAIL")</f>
        <v>PASS</v>
      </c>
    </row>
    <row r="111">
      <c r="A111" t="inlineStr">
        <is>
          <t>ci_low_wald</t>
        </is>
      </c>
      <c r="B111" t="inlineStr">
        <is>
          <t>Non-Hispanic Black</t>
        </is>
      </c>
      <c r="C111" s="21" t="n">
        <v>0.2210896044190995</v>
      </c>
      <c r="D111" s="21" t="n">
        <v>0.2210896044191</v>
      </c>
      <c r="E111" s="15" t="n">
        <v>4.163336342344337e-16</v>
      </c>
      <c r="F111" s="15" t="n">
        <v>1e-06</v>
      </c>
      <c r="G111" s="15">
        <f>ABS(C111-D111)</f>
        <v>0.0</v>
      </c>
      <c r="H111" t="str">
        <f>IF(G111&lt;=F111,"PASS","FAIL")</f>
        <v>PASS</v>
      </c>
    </row>
    <row r="112">
      <c r="A112" t="inlineStr">
        <is>
          <t>ci_low_wald</t>
        </is>
      </c>
      <c r="B112" t="inlineStr">
        <is>
          <t>Non-Hispanic White</t>
        </is>
      </c>
      <c r="C112" s="21" t="n">
        <v>0.062099166752492</v>
      </c>
      <c r="D112" s="21" t="n">
        <v>0.062099166752492</v>
      </c>
      <c r="E112" s="15" t="n">
        <v>0</v>
      </c>
      <c r="F112" s="15" t="n">
        <v>1e-06</v>
      </c>
      <c r="G112" s="15">
        <f>ABS(C112-D112)</f>
        <v>0.0</v>
      </c>
      <c r="H112" t="str">
        <f>IF(G112&lt;=F112,"PASS","FAIL")</f>
        <v>PASS</v>
      </c>
    </row>
    <row r="113">
      <c r="A113" t="inlineStr">
        <is>
          <t>ci_low_wald</t>
        </is>
      </c>
      <c r="B113" t="inlineStr">
        <is>
          <t>Other Hispanic</t>
        </is>
      </c>
      <c r="C113" s="21" t="n">
        <v>0.0873906761404373</v>
      </c>
      <c r="D113" s="21" t="n">
        <v>0.0873906761404373</v>
      </c>
      <c r="E113" s="15" t="n">
        <v>0</v>
      </c>
      <c r="F113" s="15" t="n">
        <v>1e-06</v>
      </c>
      <c r="G113" s="15">
        <f>ABS(C113-D113)</f>
        <v>0.0</v>
      </c>
      <c r="H113" t="str">
        <f>IF(G113&lt;=F113,"PASS","FAIL")</f>
        <v>PASS</v>
      </c>
    </row>
    <row r="114">
      <c r="A114" t="inlineStr">
        <is>
          <t>ci_low_wald</t>
        </is>
      </c>
      <c r="B114" t="inlineStr">
        <is>
          <t>Other/Multiracial</t>
        </is>
      </c>
      <c r="C114" s="21" t="n">
        <v>0.0222260632281649</v>
      </c>
      <c r="D114" s="21" t="n">
        <v>0.022226063228165</v>
      </c>
      <c r="E114" s="15" t="n">
        <v>7.979727989493313e-17</v>
      </c>
      <c r="F114" s="15" t="n">
        <v>1e-06</v>
      </c>
      <c r="G114" s="15">
        <f>ABS(C114-D114)</f>
        <v>0.0</v>
      </c>
      <c r="H114" t="str">
        <f>IF(G114&lt;=F114,"PASS","FAIL")</f>
        <v>PASS</v>
      </c>
    </row>
    <row r="115">
      <c r="A115" t="inlineStr">
        <is>
          <t>ci_high_wald</t>
        </is>
      </c>
      <c r="B115" t="inlineStr">
        <is>
          <t>All groups</t>
        </is>
      </c>
      <c r="C115" s="21" t="n">
        <v>0.2248921017824364</v>
      </c>
      <c r="D115" s="21" t="n">
        <v>0.224892101782437</v>
      </c>
      <c r="E115" s="15" t="n">
        <v>5.828670879282072e-16</v>
      </c>
      <c r="F115" s="15" t="n">
        <v>1e-06</v>
      </c>
      <c r="G115" s="15">
        <f>ABS(C115-D115)</f>
        <v>9.992007221626409e-16</v>
      </c>
      <c r="H115" t="str">
        <f>IF(G115&lt;=F115,"PASS","FAIL")</f>
        <v>PASS</v>
      </c>
    </row>
    <row r="116">
      <c r="A116" t="inlineStr">
        <is>
          <t>ci_high_wald</t>
        </is>
      </c>
      <c r="B116" t="inlineStr">
        <is>
          <t>Mexican American</t>
        </is>
      </c>
      <c r="C116" s="21" t="n">
        <v>0.3462178023141614</v>
      </c>
      <c r="D116" s="21" t="n">
        <v>0.346217802314161</v>
      </c>
      <c r="E116" s="15" t="n">
        <v>4.440892098500626e-16</v>
      </c>
      <c r="F116" s="15" t="n">
        <v>1e-06</v>
      </c>
      <c r="G116" s="15">
        <f>ABS(C116-D116)</f>
        <v>0.0</v>
      </c>
      <c r="H116" t="str">
        <f>IF(G116&lt;=F116,"PASS","FAIL")</f>
        <v>PASS</v>
      </c>
    </row>
    <row r="117">
      <c r="A117" t="inlineStr">
        <is>
          <t>ci_high_wald</t>
        </is>
      </c>
      <c r="B117" t="inlineStr">
        <is>
          <t>Non-Hispanic Asian</t>
        </is>
      </c>
      <c r="C117" s="21" t="n">
        <v>0.3837642694833551</v>
      </c>
      <c r="D117" s="21" t="n">
        <v>0.383764269483355</v>
      </c>
      <c r="E117" s="15" t="n">
        <v>1.110223024625156e-16</v>
      </c>
      <c r="F117" s="15" t="n">
        <v>1e-06</v>
      </c>
      <c r="G117" s="15">
        <f>ABS(C117-D117)</f>
        <v>0.0</v>
      </c>
      <c r="H117" t="str">
        <f>IF(G117&lt;=F117,"PASS","FAIL")</f>
        <v>PASS</v>
      </c>
    </row>
    <row r="118">
      <c r="A118" t="inlineStr">
        <is>
          <t>ci_high_wald</t>
        </is>
      </c>
      <c r="B118" t="inlineStr">
        <is>
          <t>Non-Hispanic Black</t>
        </is>
      </c>
      <c r="C118" s="21" t="n">
        <v>0.4236333527667477</v>
      </c>
      <c r="D118" s="21" t="n">
        <v>0.423633352766747</v>
      </c>
      <c r="E118" s="15" t="n">
        <v>6.661338147750939e-16</v>
      </c>
      <c r="F118" s="15" t="n">
        <v>1e-06</v>
      </c>
      <c r="G118" s="15">
        <f>ABS(C118-D118)</f>
        <v>9.992007221626409e-16</v>
      </c>
      <c r="H118" t="str">
        <f>IF(G118&lt;=F118,"PASS","FAIL")</f>
        <v>PASS</v>
      </c>
    </row>
    <row r="119">
      <c r="A119" t="inlineStr">
        <is>
          <t>ci_high_wald</t>
        </is>
      </c>
      <c r="B119" t="inlineStr">
        <is>
          <t>Non-Hispanic White</t>
        </is>
      </c>
      <c r="C119" s="21" t="n">
        <v>0.194889332780037</v>
      </c>
      <c r="D119" s="21" t="n">
        <v>0.194889332780037</v>
      </c>
      <c r="E119" s="15" t="n">
        <v>0</v>
      </c>
      <c r="F119" s="15" t="n">
        <v>1e-06</v>
      </c>
      <c r="G119" s="15">
        <f>ABS(C119-D119)</f>
        <v>0.0</v>
      </c>
      <c r="H119" t="str">
        <f>IF(G119&lt;=F119,"PASS","FAIL")</f>
        <v>PASS</v>
      </c>
    </row>
    <row r="120">
      <c r="A120" t="inlineStr">
        <is>
          <t>ci_high_wald</t>
        </is>
      </c>
      <c r="B120" t="inlineStr">
        <is>
          <t>Other Hispanic</t>
        </is>
      </c>
      <c r="C120" s="21" t="n">
        <v>0.5423991030366873</v>
      </c>
      <c r="D120" s="21" t="n">
        <v>0.542399103036687</v>
      </c>
      <c r="E120" s="15" t="n">
        <v>2.220446049250313e-16</v>
      </c>
      <c r="F120" s="15" t="n">
        <v>1e-06</v>
      </c>
      <c r="G120" s="15">
        <f>ABS(C120-D120)</f>
        <v>0.0</v>
      </c>
      <c r="H120" t="str">
        <f>IF(G120&lt;=F120,"PASS","FAIL")</f>
        <v>PASS</v>
      </c>
    </row>
    <row r="121">
      <c r="A121" t="inlineStr">
        <is>
          <t>ci_high_wald</t>
        </is>
      </c>
      <c r="B121" t="inlineStr">
        <is>
          <t>Other/Multiracial</t>
        </is>
      </c>
      <c r="C121" s="21" t="n">
        <v>0.244255426618295</v>
      </c>
      <c r="D121" s="21" t="n">
        <v>0.244255426618295</v>
      </c>
      <c r="E121" s="15" t="n">
        <v>5.551115123125783e-17</v>
      </c>
      <c r="F121" s="15" t="n">
        <v>1e-06</v>
      </c>
      <c r="G121" s="15">
        <f>ABS(C121-D121)</f>
        <v>0.0</v>
      </c>
      <c r="H121" t="str">
        <f>IF(G121&lt;=F121,"PASS","FAIL")</f>
        <v>PASS</v>
      </c>
    </row>
  </sheetData>
  <conditionalFormatting sqref="A1:R400">
    <cfRule type="cellIs" priority="1" operator="equal" dxfId="0">
      <formula>"FAIL"</formula>
    </cfRule>
    <cfRule type="cellIs" priority="2" operator="equal" dxfId="0">
      <formula>"REVIEW"</formula>
    </cfRule>
    <cfRule type="cellIs" priority="3" operator="equal" dxfId="1">
      <formula>"PASS"</formula>
    </cfRule>
    <cfRule type="cellIs" priority="4" operator="equal" dxfId="1">
      <formula>"ALL CHECKS PASS"</formula>
    </cfRule>
    <cfRule type="cellIs" priority="5" operator="equal" dxfId="2">
      <formula>"SMALL SAMPLE"</formula>
    </cfRule>
    <cfRule type="expression" priority="6" dxfId="2">
      <formula>LEFT(A1,11)="Exploratory"</formula>
    </cfRule>
  </conditionalFormatting>
  <pageMargins left="0.75" right="0.75" top="1" bottom="1" header="0.5" footer="0.5"/>
  <pageSetup orientation="landscape" fitToHeight="0" fitToWidth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48" customWidth="1" min="4" max="4"/>
    <col width="40" customWidth="1" min="5" max="5"/>
    <col width="44" customWidth="1" min="6" max="6"/>
    <col width="40" customWidth="1" min="7" max="7"/>
    <col width="46" customWidth="1" min="8" max="8"/>
  </cols>
  <sheetData>
    <row r="1">
      <c r="A1" s="1" t="inlineStr">
        <is>
          <t>NHANES 2017-2018 public-use survey data. Descriptive care-gap monitoring, not a certified quality measure, not clinical guidance, and no respondent-level rows.</t>
        </is>
      </c>
    </row>
    <row r="2">
      <c r="A2" s="2" t="inlineStr">
        <is>
          <t>Metric dictionary: numerator, denominator, exclusions, unit and source</t>
        </is>
      </c>
    </row>
    <row r="3">
      <c r="A3" s="3" t="inlineStr">
        <is>
          <t>Definitions live in configs/metric_dictionary.yml and are shared with the stakeholder brief and the Tableau field dictionary.</t>
        </is>
      </c>
    </row>
    <row r="5">
      <c r="A5" s="5" t="inlineStr">
        <is>
          <t>id</t>
        </is>
      </c>
      <c r="B5" s="5" t="inlineStr">
        <is>
          <t>name</t>
        </is>
      </c>
      <c r="C5" s="5" t="inlineStr">
        <is>
          <t>definition</t>
        </is>
      </c>
      <c r="D5" s="5" t="inlineStr">
        <is>
          <t>numerator</t>
        </is>
      </c>
      <c r="E5" s="5" t="inlineStr">
        <is>
          <t>denominator</t>
        </is>
      </c>
      <c r="F5" s="5" t="inlineStr">
        <is>
          <t>exclusions</t>
        </is>
      </c>
      <c r="G5" s="5" t="inlineStr">
        <is>
          <t>unit</t>
        </is>
      </c>
      <c r="H5" s="5" t="inlineStr">
        <is>
          <t>source</t>
        </is>
      </c>
    </row>
    <row r="6">
      <c r="A6" s="8" t="inlineStr">
        <is>
          <t>undiagnosed_share</t>
        </is>
      </c>
      <c r="B6" s="8" t="inlineStr">
        <is>
          <t>Undiagnosed share</t>
        </is>
      </c>
      <c r="C6" s="8" t="inlineStr">
        <is>
          <t>Weighted share of people meeting the HbA1c criterion who were never told by a doctor that they have diabetes.</t>
        </is>
      </c>
      <c r="D6" s="8" t="inlineStr">
        <is>
          <t>Respondents with HbA1c at or above the threshold who answered no to "a doctor told you that you have diabetes" (DIQ010 = 2), weighted by WTMEC2YR.</t>
        </is>
      </c>
      <c r="E6" s="8" t="inlineStr">
        <is>
          <t>Respondents with HbA1c at or above the threshold (LBXGH &gt;= 6.5), weighted by WTMEC2YR.</t>
        </is>
      </c>
      <c r="F6" s="8" t="inlineStr">
        <is>
          <t>No valid diabetes answer (refused, do not know, missing); borderline answers (DIQ010 = 3) in the main analysis; HbA1c not measured; unknown race and ethnicity.</t>
        </is>
      </c>
      <c r="G6" s="8" t="inlineStr">
        <is>
          <t>Proportion, shown as a percentage. Interval is a 95% logit interval on design degrees of freedom.</t>
        </is>
      </c>
      <c r="H6" s="8" t="inlineStr">
        <is>
          <t>outputs/tables/undiagnosis_estimates.csv (estimate, ci_low_logit, ci_high_logit)</t>
        </is>
      </c>
    </row>
    <row r="7">
      <c r="A7" s="8" t="inlineStr">
        <is>
          <t>weighted_undiagnosed_people</t>
        </is>
      </c>
      <c r="B7" s="8" t="inlineStr">
        <is>
          <t>People with undiagnosed diabetes, weighted</t>
        </is>
      </c>
      <c r="C7" s="8" t="inlineStr">
        <is>
          <t>Survey-weighted count of people meeting the HbA1c criterion who were never told they have diabetes.</t>
        </is>
      </c>
      <c r="D7" s="8" t="inlineStr">
        <is>
          <t>Sum of WTMEC2YR over HbA1c-positive respondents who answered no to being told they have diabetes.</t>
        </is>
      </c>
      <c r="E7" s="8" t="inlineStr">
        <is>
          <t>Not applicable (a weighted count).</t>
        </is>
      </c>
      <c r="F7" s="8" t="inlineStr">
        <is>
          <t>Same as undiagnosed share.</t>
        </is>
      </c>
      <c r="G7" s="8" t="inlineStr">
        <is>
          <t>People represented by the survey weights. No interval is reported.</t>
        </is>
      </c>
      <c r="H7" s="8" t="inlineStr">
        <is>
          <t>outputs/tables/group_summary.csv (weighted_undiagnosed)</t>
        </is>
      </c>
    </row>
    <row r="8">
      <c r="A8" s="8" t="inlineStr">
        <is>
          <t>undiagnosed_gap</t>
        </is>
      </c>
      <c r="B8" s="8" t="inlineStr">
        <is>
          <t>Undiagnosed share difference versus reference group</t>
        </is>
      </c>
      <c r="C8" s="8" t="inlineStr">
        <is>
          <t>Undiagnosed share of a group minus the undiagnosed share of the reference group (Non-Hispanic White).</t>
        </is>
      </c>
      <c r="D8" s="8" t="inlineStr">
        <is>
          <t>Group undiagnosed share minus reference undiagnosed share, from a joint linearization of the two ratios.</t>
        </is>
      </c>
      <c r="E8" s="8" t="inlineStr">
        <is>
          <t>Not applicable (a difference); the ratio column divides the two shares.</t>
        </is>
      </c>
      <c r="F8" s="8" t="inlineStr">
        <is>
          <t>Same as undiagnosed share.</t>
        </is>
      </c>
      <c r="G8" s="8" t="inlineStr">
        <is>
          <t>Percentage points, shown as a percentage. Only the Non-Hispanic Black comparison is confirmatory; the others are exploratory with Holm-adjusted p-values.</t>
        </is>
      </c>
      <c r="H8" s="8" t="inlineStr">
        <is>
          <t>outputs/tables/undiagnosis_contrasts.csv (difference, ci_low, ci_high, p_value, p_value_holm)</t>
        </is>
      </c>
    </row>
    <row r="9">
      <c r="A9" s="8" t="inlineStr">
        <is>
          <t>effective_n</t>
        </is>
      </c>
      <c r="B9" s="8" t="inlineStr">
        <is>
          <t>Effective sample size</t>
        </is>
      </c>
      <c r="C9" s="8" t="inlineStr">
        <is>
          <t>Kish effective sample size of the HbA1c-positive respondents in a group, which shrinks when weights are unequal.</t>
        </is>
      </c>
      <c r="D9" s="8" t="inlineStr">
        <is>
          <t>(sum of weights) squared.</t>
        </is>
      </c>
      <c r="E9" s="8" t="inlineStr">
        <is>
          <t>Sum of squared weights.</t>
        </is>
      </c>
      <c r="F9" s="8" t="inlineStr">
        <is>
          <t>Same as undiagnosed share.</t>
        </is>
      </c>
      <c r="G9" s="8" t="inlineStr">
        <is>
          <t>Respondents. A group with fewer than 30 respondents or an effective n under 30 carries a small-sample warning.</t>
        </is>
      </c>
      <c r="H9" s="8" t="inlineStr">
        <is>
          <t>outputs/tables/undiagnosis_estimates.csv (effective_n_kish, small_n_warning)</t>
        </is>
      </c>
    </row>
    <row r="10">
      <c r="A10" s="8" t="inlineStr">
        <is>
          <t>auc</t>
        </is>
      </c>
      <c r="B10" s="8" t="inlineStr">
        <is>
          <t>AUC against the HbA1c criterion</t>
        </is>
      </c>
      <c r="C10" s="8" t="inlineStr">
        <is>
          <t>Weighted area under the ROC curve of out-of-fold predictions, scored against the HbA1c criterion.</t>
        </is>
      </c>
      <c r="D10" s="8" t="inlineStr">
        <is>
          <t>Not applicable.</t>
        </is>
      </c>
      <c r="E10" s="8" t="inlineStr">
        <is>
          <t>Not applicable.</t>
        </is>
      </c>
      <c r="F10" s="8" t="inlineStr">
        <is>
          <t>Same cohort as undiagnosed share, but all cohort respondents (HbA1c-positive and negative).</t>
        </is>
      </c>
      <c r="G10" s="8" t="inlineStr">
        <is>
          <t>Area under the curve, 0.5 to 1. Interval is a Rao-Wu rescaled PSU bootstrap.</t>
        </is>
      </c>
      <c r="H10" s="8" t="inlineStr">
        <is>
          <t>outputs/tables/auc.csv (auc, ci_low, ci_high)</t>
        </is>
      </c>
    </row>
    <row r="11">
      <c r="A11" s="8" t="inlineStr">
        <is>
          <t>auc_difference</t>
        </is>
      </c>
      <c r="B11" s="8" t="inlineStr">
        <is>
          <t>AUC difference between labels</t>
        </is>
      </c>
      <c r="C11" s="8" t="inlineStr">
        <is>
          <t>AUC of the model trained on the diagnosed label minus AUC of the model trained on the HbA1c label, both scored against the HbA1c criterion.</t>
        </is>
      </c>
      <c r="D11" s="8" t="inlineStr">
        <is>
          <t>Not applicable.</t>
        </is>
      </c>
      <c r="E11" s="8" t="inlineStr">
        <is>
          <t>Not applicable.</t>
        </is>
      </c>
      <c r="F11" s="8" t="inlineStr">
        <is>
          <t>Same as AUC.</t>
        </is>
      </c>
      <c r="G11" s="8" t="inlineStr">
        <is>
          <t>AUC points. Interval and p-value come from a paired bootstrap.</t>
        </is>
      </c>
      <c r="H11" s="8" t="inlineStr">
        <is>
          <t>outputs/tables/auc_difference.csv</t>
        </is>
      </c>
    </row>
    <row r="12">
      <c r="A12" s="8" t="inlineStr">
        <is>
          <t>sensitivity</t>
        </is>
      </c>
      <c r="B12" s="8" t="inlineStr">
        <is>
          <t>Sensitivity</t>
        </is>
      </c>
      <c r="C12" s="8" t="inlineStr">
        <is>
          <t>Weighted share of HbA1c-positive respondents the model flags at its cross-validated threshold.</t>
        </is>
      </c>
      <c r="D12" s="8" t="inlineStr">
        <is>
          <t>Weighted HbA1c-positive respondents flagged by the model.</t>
        </is>
      </c>
      <c r="E12" s="8" t="inlineStr">
        <is>
          <t>Weighted HbA1c-positive respondents.</t>
        </is>
      </c>
      <c r="F12" s="8" t="inlineStr">
        <is>
          <t>Same as AUC. The threshold is chosen inside each training fold, never on the held-out fold.</t>
        </is>
      </c>
      <c r="G12" s="8" t="inlineStr">
        <is>
          <t>Proportion, shown as a percentage.</t>
        </is>
      </c>
      <c r="H12" s="8" t="inlineStr">
        <is>
          <t>outputs/tables/subgroup_metrics.csv (sensitivity, sensitivity_ci_low, sensitivity_ci_high)</t>
        </is>
      </c>
    </row>
    <row r="13">
      <c r="A13" s="8" t="inlineStr">
        <is>
          <t>specificity</t>
        </is>
      </c>
      <c r="B13" s="8" t="inlineStr">
        <is>
          <t>Specificity</t>
        </is>
      </c>
      <c r="C13" s="8" t="inlineStr">
        <is>
          <t>Weighted share of HbA1c-negative respondents the model does not flag.</t>
        </is>
      </c>
      <c r="D13" s="8" t="inlineStr">
        <is>
          <t>Weighted HbA1c-negative respondents not flagged by the model.</t>
        </is>
      </c>
      <c r="E13" s="8" t="inlineStr">
        <is>
          <t>Weighted HbA1c-negative respondents.</t>
        </is>
      </c>
      <c r="F13" s="8" t="inlineStr">
        <is>
          <t>Same as AUC.</t>
        </is>
      </c>
      <c r="G13" s="8" t="inlineStr">
        <is>
          <t>Proportion, shown as a percentage.</t>
        </is>
      </c>
      <c r="H13" s="8" t="inlineStr">
        <is>
          <t>outputs/tables/subgroup_metrics.csv (specificity, specificity_ci_low, specificity_ci_high)</t>
        </is>
      </c>
    </row>
    <row r="14">
      <c r="A14" s="8" t="inlineStr">
        <is>
          <t>false_positive_rate</t>
        </is>
      </c>
      <c r="B14" s="8" t="inlineStr">
        <is>
          <t>False-positive rate</t>
        </is>
      </c>
      <c r="C14" s="8" t="inlineStr">
        <is>
          <t>One minus specificity. The share of HbA1c-negative respondents the model would flag for follow-up.</t>
        </is>
      </c>
      <c r="D14" s="8" t="inlineStr">
        <is>
          <t>Weighted HbA1c-negative respondents flagged by the model.</t>
        </is>
      </c>
      <c r="E14" s="8" t="inlineStr">
        <is>
          <t>Weighted HbA1c-negative respondents.</t>
        </is>
      </c>
      <c r="F14" s="8" t="inlineStr">
        <is>
          <t>Same as AUC.</t>
        </is>
      </c>
      <c r="G14" s="8" t="inlineStr">
        <is>
          <t>Proportion, shown as a percentage. Computed as a live formula in the workbook.</t>
        </is>
      </c>
      <c r="H14" s="8" t="inlineStr">
        <is>
          <t>outputs/tables/specificity_cost.csv (1 - specificity_diagnosed, 1 - specificity_hba1c)</t>
        </is>
      </c>
    </row>
    <row r="15">
      <c r="A15" s="8" t="inlineStr">
        <is>
          <t>specificity_cost</t>
        </is>
      </c>
      <c r="B15" s="8" t="inlineStr">
        <is>
          <t>Specificity cost of the HbA1c label</t>
        </is>
      </c>
      <c r="C15" s="8" t="inlineStr">
        <is>
          <t>Specificity of the model trained on the diagnosed label minus specificity of the model trained on the HbA1c label. Positive means more false positives when training on the HbA1c label.</t>
        </is>
      </c>
      <c r="D15" s="8" t="inlineStr">
        <is>
          <t>Not applicable.</t>
        </is>
      </c>
      <c r="E15" s="8" t="inlineStr">
        <is>
          <t>Not applicable.</t>
        </is>
      </c>
      <c r="F15" s="8" t="inlineStr">
        <is>
          <t>Same as AUC.</t>
        </is>
      </c>
      <c r="G15" s="8" t="inlineStr">
        <is>
          <t>Percentage points, shown as a percentage. Interval is a paired bootstrap.</t>
        </is>
      </c>
      <c r="H15" s="8" t="inlineStr">
        <is>
          <t>outputs/tables/specificity_cost.csv (cost, ci_low, ci_high)</t>
        </is>
      </c>
    </row>
    <row r="16">
      <c r="A16" s="8" t="inlineStr">
        <is>
          <t>holm_adjusted_p</t>
        </is>
      </c>
      <c r="B16" s="8" t="inlineStr">
        <is>
          <t>Holm-adjusted p-value</t>
        </is>
      </c>
      <c r="C16" s="8" t="inlineStr">
        <is>
          <t>p-value of a group comparison after Holm adjustment across the five comparisons with the reference group.</t>
        </is>
      </c>
      <c r="D16" s="8" t="inlineStr">
        <is>
          <t>Not applicable.</t>
        </is>
      </c>
      <c r="E16" s="8" t="inlineStr">
        <is>
          <t>Not applicable.</t>
        </is>
      </c>
      <c r="F16" s="8" t="inlineStr">
        <is>
          <t>Same as undiagnosed share.</t>
        </is>
      </c>
      <c r="G16" s="8" t="inlineStr">
        <is>
          <t>Probability. A group comparison is labelled exploratory unless it is the pre-specified contrast.</t>
        </is>
      </c>
      <c r="H16" s="8" t="inlineStr">
        <is>
          <t>outputs/tables/undiagnosis_contrasts.csv (p_value_holm, analysis_type)</t>
        </is>
      </c>
    </row>
    <row r="17">
      <c r="A17" s="8" t="inlineStr">
        <is>
          <t>missingness</t>
        </is>
      </c>
      <c r="B17" s="8" t="inlineStr">
        <is>
          <t>Missingness share</t>
        </is>
      </c>
      <c r="C17" s="8" t="inlineStr">
        <is>
          <t>Share of respondents in a group with no valid value for an input variable.</t>
        </is>
      </c>
      <c r="D17" s="8" t="inlineStr">
        <is>
          <t>Respondents in the group with the variable missing (refused, do not know, not asked or blank).</t>
        </is>
      </c>
      <c r="E17" s="8" t="inlineStr">
        <is>
          <t>Respondents in the group in the analysis cohort.</t>
        </is>
      </c>
      <c r="F17" s="8" t="inlineStr">
        <is>
          <t>None.</t>
        </is>
      </c>
      <c r="G17" s="8" t="inlineStr">
        <is>
          <t>Proportion, shown as a percentage. Computed as a live formula in the workbook.</t>
        </is>
      </c>
      <c r="H17" s="8" t="inlineStr">
        <is>
          <t>outputs/tables/missingness_by_group.csv</t>
        </is>
      </c>
    </row>
  </sheetData>
  <conditionalFormatting sqref="A1:R400">
    <cfRule type="cellIs" priority="1" operator="equal" dxfId="0">
      <formula>"FAIL"</formula>
    </cfRule>
    <cfRule type="cellIs" priority="2" operator="equal" dxfId="0">
      <formula>"REVIEW"</formula>
    </cfRule>
    <cfRule type="cellIs" priority="3" operator="equal" dxfId="1">
      <formula>"PASS"</formula>
    </cfRule>
    <cfRule type="cellIs" priority="4" operator="equal" dxfId="1">
      <formula>"ALL CHECKS PASS"</formula>
    </cfRule>
    <cfRule type="cellIs" priority="5" operator="equal" dxfId="2">
      <formula>"SMALL SAMPLE"</formula>
    </cfRule>
    <cfRule type="expression" priority="6" dxfId="2">
      <formula>LEFT(A1,11)="Exploratory"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nhanes-diabetes</dc:creator>
  <dc:title>NHANES 2017-2018 diabetes care-gap quality review</dc:title>
  <dcterms:created xsi:type="dcterms:W3CDTF">2026-09-19T05:18:21Z</dcterms:created>
  <dcterms:modified xsi:type="dcterms:W3CDTF">2026-09-19T10:00:30Z</dcterms:modified>
  <cp:lastModifiedBy>nhanes-diabetes</cp:lastModifiedBy>
</cp:coreProperties>
</file>